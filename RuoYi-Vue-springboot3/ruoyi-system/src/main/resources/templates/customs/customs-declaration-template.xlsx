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295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<sst xmlns="http://schemas.openxmlformats.org/spreadsheetml/2006/main" count="214" uniqueCount="123">
  <si>
    <r>
      <rPr>
        <sz val="18"/>
        <color theme="1"/>
        <rFont val="宋体"/>
        <charset val="134"/>
        <scheme val="minor"/>
      </rPr>
      <t xml:space="preserve">                            </t>
    </r>
    <r>
      <rPr>
        <sz val="18"/>
        <color indexed="8"/>
        <rFont val="等线"/>
        <charset val="134"/>
      </rPr>
      <t>中华人民共和国海关出口货物报关单</t>
    </r>
  </si>
  <si>
    <t>预录入编号：</t>
  </si>
  <si>
    <r>
      <rPr>
        <sz val="9"/>
        <color indexed="8"/>
        <rFont val="等线"/>
        <charset val="134"/>
      </rPr>
      <t>海关编号：</t>
    </r>
  </si>
  <si>
    <t>页码/页数：</t>
  </si>
  <si>
    <r>
      <rPr>
        <sz val="9"/>
        <color indexed="8"/>
        <rFont val="等线"/>
        <charset val="134"/>
      </rPr>
      <t>境内发货人</t>
    </r>
  </si>
  <si>
    <t>成都玖马赫供应链管理有限公司   信用代码：91510106MACMNJMB6A</t>
  </si>
  <si>
    <r>
      <rPr>
        <sz val="9"/>
        <color indexed="8"/>
        <rFont val="等线"/>
        <charset val="134"/>
      </rPr>
      <t>出境关别</t>
    </r>
  </si>
  <si>
    <r>
      <rPr>
        <sz val="9"/>
        <color indexed="8"/>
        <rFont val="等线"/>
        <charset val="134"/>
      </rPr>
      <t>出口日期</t>
    </r>
  </si>
  <si>
    <r>
      <rPr>
        <sz val="9"/>
        <color indexed="8"/>
        <rFont val="等线"/>
        <charset val="134"/>
      </rPr>
      <t>申报日期</t>
    </r>
  </si>
  <si>
    <t xml:space="preserve"> </t>
  </si>
  <si>
    <r>
      <rPr>
        <sz val="9"/>
        <color indexed="8"/>
        <rFont val="等线"/>
        <charset val="134"/>
      </rPr>
      <t>备案号</t>
    </r>
  </si>
  <si>
    <t>境外收货人</t>
  </si>
  <si>
    <t>Hong Kong Cammy Yeson Limited</t>
  </si>
  <si>
    <r>
      <rPr>
        <sz val="9"/>
        <color indexed="8"/>
        <rFont val="等线"/>
        <charset val="134"/>
      </rPr>
      <t>运输方式</t>
    </r>
  </si>
  <si>
    <r>
      <rPr>
        <sz val="9"/>
        <color indexed="8"/>
        <rFont val="等线"/>
        <charset val="134"/>
      </rPr>
      <t>运输工具名称及航次号</t>
    </r>
  </si>
  <si>
    <r>
      <rPr>
        <sz val="9"/>
        <color indexed="8"/>
        <rFont val="等线"/>
        <charset val="134"/>
      </rPr>
      <t>提运单号</t>
    </r>
  </si>
  <si>
    <r>
      <rPr>
        <sz val="9"/>
        <color indexed="8"/>
        <rFont val="等线"/>
        <charset val="134"/>
      </rPr>
      <t>生产销售单位</t>
    </r>
  </si>
  <si>
    <r>
      <rPr>
        <sz val="9"/>
        <color indexed="8"/>
        <rFont val="等线"/>
        <charset val="134"/>
      </rPr>
      <t>监管方式</t>
    </r>
  </si>
  <si>
    <t>一般贸易</t>
  </si>
  <si>
    <r>
      <rPr>
        <sz val="9"/>
        <color indexed="8"/>
        <rFont val="等线"/>
        <charset val="134"/>
      </rPr>
      <t>征免性质</t>
    </r>
  </si>
  <si>
    <t>一般征税</t>
  </si>
  <si>
    <r>
      <rPr>
        <sz val="9"/>
        <color indexed="8"/>
        <rFont val="等线"/>
        <charset val="134"/>
      </rPr>
      <t>许可证号</t>
    </r>
  </si>
  <si>
    <r>
      <rPr>
        <sz val="9"/>
        <color indexed="8"/>
        <rFont val="等线"/>
        <charset val="134"/>
      </rPr>
      <t>合同协议号</t>
    </r>
  </si>
  <si>
    <t>贸易国（地区）</t>
  </si>
  <si>
    <t>美国</t>
  </si>
  <si>
    <t>运抵国（地区）</t>
  </si>
  <si>
    <t>指运港</t>
  </si>
  <si>
    <r>
      <rPr>
        <sz val="9"/>
        <color indexed="8"/>
        <rFont val="等线"/>
        <charset val="134"/>
      </rPr>
      <t>离境口岸</t>
    </r>
  </si>
  <si>
    <r>
      <rPr>
        <sz val="9"/>
        <color indexed="8"/>
        <rFont val="等线"/>
        <charset val="134"/>
      </rPr>
      <t>包装种类</t>
    </r>
  </si>
  <si>
    <t>纸箱</t>
  </si>
  <si>
    <t>件数  68</t>
  </si>
  <si>
    <t>毛重（千克）813.6</t>
  </si>
  <si>
    <t>净重  （千克）772.1</t>
  </si>
  <si>
    <t>成交方式   FOB</t>
  </si>
  <si>
    <r>
      <rPr>
        <sz val="9"/>
        <color indexed="8"/>
        <rFont val="等线"/>
        <charset val="134"/>
      </rPr>
      <t>运费</t>
    </r>
  </si>
  <si>
    <r>
      <rPr>
        <sz val="9"/>
        <color indexed="8"/>
        <rFont val="等线"/>
        <charset val="134"/>
      </rPr>
      <t>保费</t>
    </r>
  </si>
  <si>
    <r>
      <rPr>
        <sz val="9"/>
        <color indexed="8"/>
        <rFont val="等线"/>
        <charset val="134"/>
      </rPr>
      <t>杂费</t>
    </r>
  </si>
  <si>
    <r>
      <rPr>
        <sz val="9"/>
        <color indexed="8"/>
        <rFont val="等线"/>
        <charset val="134"/>
      </rPr>
      <t>随附单证及编号</t>
    </r>
  </si>
  <si>
    <t>境外收货人完整显示：Hong Kong Cammy Yeson Limited</t>
  </si>
  <si>
    <t>标记唛码及备注</t>
  </si>
  <si>
    <r>
      <rPr>
        <sz val="9"/>
        <color indexed="8"/>
        <rFont val="等线"/>
        <charset val="134"/>
      </rPr>
      <t>项号</t>
    </r>
  </si>
  <si>
    <t xml:space="preserve">   商品编码</t>
  </si>
  <si>
    <t>商品名称</t>
  </si>
  <si>
    <t>SKU（以下信息必须填写在申报要素备注栏）</t>
  </si>
  <si>
    <t>规格型号</t>
  </si>
  <si>
    <r>
      <rPr>
        <sz val="9"/>
        <color indexed="8"/>
        <rFont val="等线"/>
        <charset val="134"/>
      </rPr>
      <t>数量及单位</t>
    </r>
  </si>
  <si>
    <r>
      <rPr>
        <sz val="9"/>
        <color indexed="8"/>
        <rFont val="等线"/>
        <charset val="134"/>
      </rPr>
      <t>单价</t>
    </r>
    <r>
      <rPr>
        <sz val="9"/>
        <color indexed="8"/>
        <rFont val="等线"/>
        <charset val="134"/>
      </rPr>
      <t>/</t>
    </r>
    <r>
      <rPr>
        <sz val="9"/>
        <color indexed="8"/>
        <rFont val="等线"/>
        <charset val="134"/>
      </rPr>
      <t>总价</t>
    </r>
    <r>
      <rPr>
        <sz val="9"/>
        <color indexed="8"/>
        <rFont val="等线"/>
        <charset val="134"/>
      </rPr>
      <t>/</t>
    </r>
    <r>
      <rPr>
        <sz val="9"/>
        <color indexed="8"/>
        <rFont val="等线"/>
        <charset val="134"/>
      </rPr>
      <t>币制</t>
    </r>
  </si>
  <si>
    <t>原产国（地区</t>
  </si>
  <si>
    <t>最终目的国（地区</t>
  </si>
  <si>
    <r>
      <rPr>
        <sz val="9"/>
        <color indexed="8"/>
        <rFont val="等线"/>
        <charset val="134"/>
      </rPr>
      <t>境内货源地</t>
    </r>
  </si>
  <si>
    <r>
      <rPr>
        <sz val="9"/>
        <color indexed="8"/>
        <rFont val="等线"/>
        <charset val="134"/>
      </rPr>
      <t>征免</t>
    </r>
  </si>
  <si>
    <r>
      <rPr>
        <b/>
        <sz val="10"/>
        <color rgb="FF000000"/>
        <rFont val="宋体"/>
        <charset val="134"/>
      </rPr>
      <t>8414803000 用于提升发动机动力输出和燃烧效率，压力比2.14,无品牌，无型号，申报要素备注栏备注：</t>
    </r>
    <r>
      <rPr>
        <b/>
        <sz val="10"/>
        <color rgb="FF000000"/>
        <rFont val="Courier New"/>
        <charset val="134"/>
      </rPr>
      <t>100008-0010</t>
    </r>
  </si>
  <si>
    <t>10个/76.8千克</t>
  </si>
  <si>
    <t>中国</t>
  </si>
  <si>
    <t>丹东
21069</t>
  </si>
  <si>
    <t>照章</t>
  </si>
  <si>
    <r>
      <rPr>
        <b/>
        <sz val="10"/>
        <color rgb="FF000000"/>
        <rFont val="宋体"/>
        <charset val="134"/>
      </rPr>
      <t>8409919910  汽车发动机用，点燃式发动机，无品牌，无零件号，无型号，申报要素备注栏备注：</t>
    </r>
    <r>
      <rPr>
        <b/>
        <sz val="10"/>
        <color rgb="FF000000"/>
        <rFont val="Courier New"/>
        <charset val="134"/>
      </rPr>
      <t>100145-0695</t>
    </r>
  </si>
  <si>
    <t>7个/10.2千克</t>
  </si>
  <si>
    <t>广州其他 44019</t>
  </si>
  <si>
    <r>
      <rPr>
        <b/>
        <sz val="10"/>
        <color rgb="FF000000"/>
        <rFont val="宋体"/>
        <charset val="134"/>
      </rPr>
      <t>8501310000 是直流，220W,无品牌，无型号，申报要素备注栏备注：</t>
    </r>
    <r>
      <rPr>
        <b/>
        <sz val="10"/>
        <color rgb="FF000000"/>
        <rFont val="Courier New"/>
        <charset val="134"/>
      </rPr>
      <t>30072-0148</t>
    </r>
  </si>
  <si>
    <t>8台/17.3千克</t>
  </si>
  <si>
    <t>温州经济技术开发区 33032</t>
  </si>
  <si>
    <r>
      <rPr>
        <b/>
        <sz val="10"/>
        <color rgb="FF000000"/>
        <rFont val="宋体"/>
        <charset val="134"/>
      </rPr>
      <t>8409919990 汽车发动机用，点燃式发动机，无品牌，无零件号，无型号，申报要素备注栏备注：</t>
    </r>
    <r>
      <rPr>
        <b/>
        <sz val="10"/>
        <color rgb="FF000000"/>
        <rFont val="Courier New"/>
        <charset val="134"/>
      </rPr>
      <t>30277-0136</t>
    </r>
  </si>
  <si>
    <t>7个/48.7千克</t>
  </si>
  <si>
    <t>瑞安 33159</t>
  </si>
  <si>
    <r>
      <rPr>
        <b/>
        <sz val="10"/>
        <color rgb="FF000000"/>
        <rFont val="宋体"/>
        <charset val="134"/>
      </rPr>
      <t>8708293000 适用于宝马小型汽车车型，无零件编号，无品牌，无型号，申报要素备注栏备注：</t>
    </r>
    <r>
      <rPr>
        <b/>
        <sz val="10"/>
        <color rgb="FF000000"/>
        <rFont val="Courier New"/>
        <charset val="134"/>
      </rPr>
      <t>30537-0740</t>
    </r>
  </si>
  <si>
    <t>7只/12.1千克</t>
  </si>
  <si>
    <t>长沙其他 43019</t>
  </si>
  <si>
    <r>
      <rPr>
        <b/>
        <sz val="10"/>
        <color rgb="FF000000"/>
        <rFont val="宋体"/>
        <charset val="134"/>
      </rPr>
      <t>8414803000 用于提升发动机动力输出和燃烧效率，压力比2,无品牌，无型号，申报要素备注栏备注：</t>
    </r>
    <r>
      <rPr>
        <b/>
        <sz val="10"/>
        <color rgb="FF000000"/>
        <rFont val="Courier New"/>
        <charset val="134"/>
      </rPr>
      <t>70037-0010</t>
    </r>
  </si>
  <si>
    <t>12个/94.7千克</t>
  </si>
  <si>
    <r>
      <rPr>
        <b/>
        <sz val="10"/>
        <color rgb="FF000000"/>
        <rFont val="宋体"/>
        <charset val="134"/>
      </rPr>
      <t>8414803000 用于提升发动机动力输出和燃烧效率，压力比2.2,无品牌，无型号，申报要素备注栏备注：</t>
    </r>
    <r>
      <rPr>
        <b/>
        <sz val="10"/>
        <color rgb="FF000000"/>
        <rFont val="Courier New"/>
        <charset val="134"/>
      </rPr>
      <t>JMH70063-0010</t>
    </r>
  </si>
  <si>
    <t>1个/6.1千克</t>
  </si>
  <si>
    <r>
      <rPr>
        <b/>
        <sz val="10"/>
        <color rgb="FF000000"/>
        <rFont val="宋体"/>
        <charset val="134"/>
      </rPr>
      <t>8501400090 是单相交流电动机，1.1KW，无品牌，无型号，申报要素备注栏备注：</t>
    </r>
    <r>
      <rPr>
        <b/>
        <sz val="10"/>
        <color rgb="FF000000"/>
        <rFont val="Courier New"/>
        <charset val="134"/>
      </rPr>
      <t>JMH230043-0882</t>
    </r>
  </si>
  <si>
    <r>
      <rPr>
        <b/>
        <sz val="10"/>
        <color theme="1"/>
        <rFont val="Courier New"/>
        <charset val="134"/>
      </rPr>
      <t>7</t>
    </r>
    <r>
      <rPr>
        <b/>
        <sz val="10"/>
        <color theme="1"/>
        <rFont val="宋体"/>
        <charset val="134"/>
      </rPr>
      <t>台</t>
    </r>
    <r>
      <rPr>
        <b/>
        <sz val="10"/>
        <color theme="1"/>
        <rFont val="Courier New"/>
        <charset val="134"/>
      </rPr>
      <t>/90.3</t>
    </r>
    <r>
      <rPr>
        <b/>
        <sz val="10"/>
        <color theme="1"/>
        <rFont val="宋体"/>
        <charset val="134"/>
      </rPr>
      <t>千克</t>
    </r>
  </si>
  <si>
    <t>台州 33119</t>
  </si>
  <si>
    <r>
      <rPr>
        <b/>
        <sz val="10"/>
        <color rgb="FF000000"/>
        <rFont val="宋体"/>
        <charset val="134"/>
      </rPr>
      <t>8409919990 适用于汽车发动机，点燃式发动机，无品牌，无零件号，无型号，申报要素备注栏备注：</t>
    </r>
    <r>
      <rPr>
        <b/>
        <sz val="10"/>
        <color rgb="FF000000"/>
        <rFont val="Courier New"/>
        <charset val="134"/>
      </rPr>
      <t>80136-0033</t>
    </r>
  </si>
  <si>
    <t>10套/45.2千克</t>
  </si>
  <si>
    <t>黄山 34099</t>
  </si>
  <si>
    <r>
      <rPr>
        <b/>
        <sz val="10"/>
        <color rgb="FF000000"/>
        <rFont val="宋体"/>
        <charset val="134"/>
      </rPr>
      <t>8708999900 适用于通用汽车车型，无品牌，无零部件编号，无型号，申报要素备注栏备注：</t>
    </r>
    <r>
      <rPr>
        <b/>
        <sz val="10"/>
        <color rgb="FF000000"/>
        <rFont val="Courier New"/>
        <charset val="134"/>
      </rPr>
      <t>40143-0453</t>
    </r>
  </si>
  <si>
    <t>21套/41.8千克</t>
  </si>
  <si>
    <r>
      <rPr>
        <b/>
        <sz val="10"/>
        <color rgb="FF000000"/>
        <rFont val="宋体"/>
        <charset val="134"/>
      </rPr>
      <t>8414803000 用于提升发动机动力输出和燃烧效率，压力比1.9,无品牌，无型号，申报要素备注栏备注：</t>
    </r>
    <r>
      <rPr>
        <b/>
        <sz val="10"/>
        <color rgb="FF000000"/>
        <rFont val="Courier New"/>
        <charset val="134"/>
      </rPr>
      <t>60070-0010</t>
    </r>
  </si>
  <si>
    <t>7个/43.1千克</t>
  </si>
  <si>
    <r>
      <rPr>
        <b/>
        <sz val="10"/>
        <color rgb="FF000000"/>
        <rFont val="宋体"/>
        <charset val="134"/>
      </rPr>
      <t>8409919990 适用于汽车发动机，点燃式发动机，无品牌，无零件号，无型号，申报要素备注栏备注：</t>
    </r>
    <r>
      <rPr>
        <b/>
        <sz val="10"/>
        <color rgb="FF000000"/>
        <rFont val="Courier New"/>
        <charset val="134"/>
      </rPr>
      <t>50394-0033</t>
    </r>
  </si>
  <si>
    <t>14套/62.2千克</t>
  </si>
  <si>
    <r>
      <rPr>
        <b/>
        <sz val="10"/>
        <color rgb="FF000000"/>
        <rFont val="宋体"/>
        <charset val="134"/>
      </rPr>
      <t>8409919990 适用于汽车发动机，点燃式发动机，无品牌，无零件号，无型号，申报要素备注栏备注：</t>
    </r>
    <r>
      <rPr>
        <b/>
        <sz val="10"/>
        <color rgb="FF000000"/>
        <rFont val="Courier New"/>
        <charset val="134"/>
      </rPr>
      <t>JMH50397-0115</t>
    </r>
  </si>
  <si>
    <r>
      <rPr>
        <b/>
        <sz val="10"/>
        <color theme="1"/>
        <rFont val="Courier New"/>
        <charset val="134"/>
      </rPr>
      <t>7</t>
    </r>
    <r>
      <rPr>
        <b/>
        <sz val="10"/>
        <color theme="1"/>
        <rFont val="宋体"/>
        <charset val="134"/>
      </rPr>
      <t>个</t>
    </r>
    <r>
      <rPr>
        <b/>
        <sz val="10"/>
        <color theme="1"/>
        <rFont val="Courier New"/>
        <charset val="134"/>
      </rPr>
      <t>/28.7</t>
    </r>
    <r>
      <rPr>
        <b/>
        <sz val="10"/>
        <color theme="1"/>
        <rFont val="宋体"/>
        <charset val="134"/>
      </rPr>
      <t>千克</t>
    </r>
  </si>
  <si>
    <t>南海 44289</t>
  </si>
  <si>
    <r>
      <rPr>
        <b/>
        <sz val="10"/>
        <color rgb="FF000000"/>
        <rFont val="宋体"/>
        <charset val="134"/>
      </rPr>
      <t>8414803000 用于提升发动机动力输出和燃烧效率，压力比1.82,无品牌，无型号，申报要素备注栏备注：</t>
    </r>
    <r>
      <rPr>
        <b/>
        <sz val="10"/>
        <color rgb="FF000000"/>
        <rFont val="Courier New"/>
        <charset val="134"/>
      </rPr>
      <t>40250-0010</t>
    </r>
  </si>
  <si>
    <t>7个/61.4千克</t>
  </si>
  <si>
    <r>
      <rPr>
        <b/>
        <sz val="10"/>
        <color rgb="FF000000"/>
        <rFont val="宋体"/>
        <charset val="134"/>
      </rPr>
      <t>8409919990 汽车发动机用，点燃式发动机，无品牌，无零件号，无型号，申报要素备注栏备注：</t>
    </r>
    <r>
      <rPr>
        <b/>
        <sz val="10"/>
        <color rgb="FF000000"/>
        <rFont val="Courier New"/>
        <charset val="134"/>
      </rPr>
      <t>JMH10361-0661</t>
    </r>
  </si>
  <si>
    <t>10个/20.3千克</t>
  </si>
  <si>
    <r>
      <rPr>
        <b/>
        <sz val="10"/>
        <color rgb="FF000000"/>
        <rFont val="宋体"/>
        <charset val="134"/>
      </rPr>
      <t>8409919990 适用于汽车发动机，点燃式发动机，无品牌，无零件号，无型号，申报要素备注栏备注：</t>
    </r>
    <r>
      <rPr>
        <b/>
        <sz val="10"/>
        <color rgb="FF000000"/>
        <rFont val="Courier New"/>
        <charset val="134"/>
      </rPr>
      <t>JMH120019-0661</t>
    </r>
  </si>
  <si>
    <t>10套/28.7千克</t>
  </si>
  <si>
    <r>
      <rPr>
        <b/>
        <sz val="10"/>
        <color rgb="FF000000"/>
        <rFont val="宋体"/>
        <charset val="134"/>
      </rPr>
      <t>8708409190 适用于大众等汽车车型，自动挡，400NM，无零部件编号 无品牌，无型号，申报要素备注栏备注：</t>
    </r>
    <r>
      <rPr>
        <b/>
        <sz val="10"/>
        <color rgb="FF000000"/>
        <rFont val="Courier New"/>
        <charset val="134"/>
      </rPr>
      <t>250002-0695</t>
    </r>
  </si>
  <si>
    <t>3套/18.2千克</t>
  </si>
  <si>
    <r>
      <rPr>
        <b/>
        <sz val="10"/>
        <color rgb="FF000000"/>
        <rFont val="宋体"/>
        <charset val="134"/>
      </rPr>
      <t>8414909090 通用于涡轮增压器，钢等制，无品牌，无型号，申报要素备注栏备注：</t>
    </r>
    <r>
      <rPr>
        <b/>
        <sz val="10"/>
        <color rgb="FF000000"/>
        <rFont val="Courier New"/>
        <charset val="134"/>
      </rPr>
      <t>170069-0289</t>
    </r>
  </si>
  <si>
    <t>3个/7.4千克</t>
  </si>
  <si>
    <t>胶州 37229</t>
  </si>
  <si>
    <r>
      <rPr>
        <b/>
        <sz val="10"/>
        <color rgb="FF000000"/>
        <rFont val="宋体"/>
        <charset val="134"/>
      </rPr>
      <t>8501310000 是直流，180W,无品牌，无型号，申报要素备注栏备注：</t>
    </r>
    <r>
      <rPr>
        <b/>
        <sz val="10"/>
        <color rgb="FF000000"/>
        <rFont val="Courier New"/>
        <charset val="134"/>
      </rPr>
      <t>20317-0148</t>
    </r>
  </si>
  <si>
    <t>7台/10.8千克</t>
  </si>
  <si>
    <r>
      <rPr>
        <b/>
        <sz val="10"/>
        <color rgb="FF000000"/>
        <rFont val="宋体"/>
        <charset val="134"/>
      </rPr>
      <t>8409999100 汽车发动机用，压燃式发动机，170KW,无品牌，无零件号，无型号，申报要素备注栏备注：</t>
    </r>
    <r>
      <rPr>
        <b/>
        <sz val="10"/>
        <color rgb="FF000000"/>
        <rFont val="Courier New"/>
        <charset val="134"/>
      </rPr>
      <t>10653-1080</t>
    </r>
  </si>
  <si>
    <t>3个/0.7千克</t>
  </si>
  <si>
    <t>奉化 33219</t>
  </si>
  <si>
    <r>
      <rPr>
        <b/>
        <sz val="10"/>
        <color rgb="FF000000"/>
        <rFont val="宋体"/>
        <charset val="134"/>
      </rPr>
      <t>8708507900 适用于通用汽车车型，无品牌，无零部件编号，无型号，申报要素备注栏备注：</t>
    </r>
    <r>
      <rPr>
        <b/>
        <sz val="10"/>
        <color rgb="FF000000"/>
        <rFont val="Courier New"/>
        <charset val="134"/>
      </rPr>
      <t>250005-0695</t>
    </r>
  </si>
  <si>
    <t>3只/17.8千克</t>
  </si>
  <si>
    <r>
      <rPr>
        <b/>
        <sz val="10"/>
        <color rgb="FF000000"/>
        <rFont val="宋体"/>
        <charset val="134"/>
      </rPr>
      <t>8481201090 用于控制液压油的流量、方向和压力，无品牌，无型号，申报要素备注栏备注：</t>
    </r>
    <r>
      <rPr>
        <b/>
        <sz val="10"/>
        <color rgb="FF000000"/>
        <rFont val="Courier New"/>
        <charset val="134"/>
      </rPr>
      <t>JMH220058-0346</t>
    </r>
  </si>
  <si>
    <t>10个/6千克</t>
  </si>
  <si>
    <t>盐城 32099</t>
  </si>
  <si>
    <r>
      <rPr>
        <b/>
        <sz val="10"/>
        <color rgb="FF000000"/>
        <rFont val="宋体"/>
        <charset val="134"/>
      </rPr>
      <t>8708409190 适用于大众等汽车车型，自动挡，380NM，无零部件编号 无品牌，无型号，申报要素备注栏备注：</t>
    </r>
    <r>
      <rPr>
        <b/>
        <sz val="10"/>
        <color rgb="FF000000"/>
        <rFont val="Courier New"/>
        <charset val="134"/>
      </rPr>
      <t>250003-0695</t>
    </r>
  </si>
  <si>
    <t>3套/11.6千克</t>
  </si>
  <si>
    <t>8421399090 用于分离发动机曲轴箱窜气中的油雾与杂质，非不锈钢外壳，原理：通过内部分离结构将含窜气进行气液分离，非电动，不需注明额定功率，无品牌，无型号，申报要素备注栏备注：JMH10198-0581</t>
  </si>
  <si>
    <t>10套/6千克</t>
  </si>
  <si>
    <r>
      <rPr>
        <b/>
        <sz val="10"/>
        <color rgb="FF000000"/>
        <rFont val="宋体"/>
        <charset val="134"/>
      </rPr>
      <t>8421230000 用于过滤汽油中的有害杂质，原理：通过物理筛分，利用滤纸的微小孔隙阻挡杂质，无品牌，无型号，申报要素备注栏备注：</t>
    </r>
    <r>
      <rPr>
        <b/>
        <sz val="10"/>
        <color rgb="FF000000"/>
        <rFont val="Courier New"/>
        <charset val="134"/>
      </rPr>
      <t>JMH90105-0335</t>
    </r>
  </si>
  <si>
    <t>4个/6千克</t>
  </si>
  <si>
    <t>温州其他 33039</t>
  </si>
  <si>
    <t>报关人员</t>
  </si>
  <si>
    <t>报关人员证号</t>
  </si>
  <si>
    <r>
      <rPr>
        <sz val="9"/>
        <color indexed="8"/>
        <rFont val="等线"/>
        <charset val="134"/>
      </rPr>
      <t>电话</t>
    </r>
  </si>
  <si>
    <t>兹申明对以上内容承担如实申报、依法纳税之法律责任</t>
  </si>
  <si>
    <t>海关批注及签章</t>
  </si>
  <si>
    <r>
      <rPr>
        <sz val="9"/>
        <color indexed="8"/>
        <rFont val="等线"/>
        <charset val="134"/>
      </rPr>
      <t>申报单位</t>
    </r>
  </si>
  <si>
    <t xml:space="preserve">成都玖马赫供应链管理有限公司  </t>
  </si>
  <si>
    <t xml:space="preserve">                    申报单位（签章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</si>
</sst>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9"/>
      <color rgb="FF000000"/>
      <name val="等线"/>
      <charset val="134"/>
    </font>
    <font>
      <b/>
      <sz val="9"/>
      <color rgb="FF000000"/>
      <name val="宋体"/>
      <charset val="134"/>
    </font>
    <font>
      <b/>
      <sz val="9"/>
      <color theme="1"/>
      <name val="宋体"/>
      <charset val="134"/>
      <scheme val="minor"/>
    </font>
    <font>
      <sz val="9"/>
      <color indexed="8"/>
      <name val="等线"/>
      <charset val="134"/>
    </font>
    <font>
      <b/>
      <sz val="10"/>
      <color theme="1"/>
      <name val="Courier New"/>
      <charset val="134"/>
    </font>
    <font>
      <b/>
      <sz val="10"/>
      <color rgb="FF000000"/>
      <name val="宋体"/>
      <charset val="134"/>
    </font>
    <font>
      <sz val="10"/>
      <name val="Courier New"/>
      <charset val="134"/>
    </font>
    <font>
      <b/>
      <sz val="10"/>
      <color theme="1"/>
      <name val="宋体"/>
      <charset val="134"/>
    </font>
    <font>
      <b/>
      <sz val="10"/>
      <color rgb="FF000000"/>
      <name val="宋体"/>
      <charset val="134"/>
      <scheme val="minor"/>
    </font>
    <font>
      <b/>
      <sz val="1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000000"/>
      <name val="Courier New"/>
      <charset val="134"/>
    </font>
    <font>
      <sz val="18"/>
      <color indexed="8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3" borderId="1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14">
      <alignment vertical="center"/>
    </xf>
    <xf numFmtId="0" fontId="20" fillId="0" borderId="14">
      <alignment vertical="center"/>
    </xf>
    <xf numFmtId="0" fontId="21" fillId="0" borderId="15">
      <alignment vertical="center"/>
    </xf>
    <xf numFmtId="0" fontId="21" fillId="0" borderId="0">
      <alignment vertical="center"/>
    </xf>
    <xf numFmtId="0" fontId="22" fillId="4" borderId="16">
      <alignment vertical="center"/>
    </xf>
    <xf numFmtId="0" fontId="23" fillId="5" borderId="17">
      <alignment vertical="center"/>
    </xf>
    <xf numFmtId="0" fontId="24" fillId="5" borderId="16">
      <alignment vertical="center"/>
    </xf>
    <xf numFmtId="0" fontId="25" fillId="6" borderId="18">
      <alignment vertical="center"/>
    </xf>
    <xf numFmtId="0" fontId="26" fillId="0" borderId="19">
      <alignment vertical="center"/>
    </xf>
    <xf numFmtId="0" fontId="27" fillId="0" borderId="20">
      <alignment vertical="center"/>
    </xf>
    <xf numFmtId="0" fontId="28" fillId="7" borderId="0">
      <alignment vertical="center"/>
    </xf>
    <xf numFmtId="0" fontId="29" fillId="8" borderId="0">
      <alignment vertical="center"/>
    </xf>
    <xf numFmtId="0" fontId="30" fillId="9" borderId="0">
      <alignment vertical="center"/>
    </xf>
    <xf numFmtId="0" fontId="31" fillId="10" borderId="0">
      <alignment vertical="center"/>
    </xf>
    <xf numFmtId="0" fontId="32" fillId="11" borderId="0">
      <alignment vertical="center"/>
    </xf>
    <xf numFmtId="0" fontId="32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1" fillId="33" borderId="0">
      <alignment vertical="center"/>
    </xf>
  </cellStyleXfs>
  <cellXfs count="53"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0" borderId="0" xfId="0" applyFont="1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justify" vertical="center"/>
    </xf>
    <xf numFmtId="14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 wrapText="1"/>
    </xf>
    <xf numFmtId="0" fontId="1" fillId="0" borderId="2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left" vertical="center"/>
    </xf>
    <xf numFmtId="0" fontId="4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vertical="center"/>
    </xf>
    <xf numFmtId="0" fontId="1" fillId="0" borderId="11" xfId="0" applyFont="1" applyFill="1" applyBorder="1" applyAlignment="1">
      <alignment horizontal="left" vertical="top"/>
    </xf>
    <xf numFmtId="0" fontId="1" fillId="0" borderId="0" xfId="0" applyFont="1" applyFill="1" applyAlignment="1">
      <alignment horizontal="left" vertical="top"/>
    </xf>
    <xf numFmtId="0" fontId="1" fillId="0" borderId="12" xfId="0" applyFont="1" applyFill="1" applyBorder="1" applyAlignment="1">
      <alignment horizontal="left" vertical="top"/>
    </xf>
    <xf numFmtId="0" fontId="1" fillId="0" borderId="11" xfId="0" applyFont="1" applyFill="1" applyBorder="1" applyAlignment="1">
      <alignment vertical="center"/>
    </xf>
    <xf numFmtId="0" fontId="1" fillId="0" borderId="12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5" fillId="0" borderId="6" xfId="0" applyFont="1" applyFill="1" applyBorder="1" applyAlignment="1">
      <alignment horizontal="justify" vertical="center"/>
    </xf>
    <xf numFmtId="0" fontId="1" fillId="0" borderId="6" xfId="0" applyFont="1" applyFill="1" applyBorder="1" applyAlignment="1">
      <alignment vertical="center"/>
    </xf>
    <xf numFmtId="0" fontId="1" fillId="0" borderId="5" xfId="0" applyFont="1" applyFill="1" applyBorder="1" applyAlignment="1">
      <alignment horizontal="left" vertical="top"/>
    </xf>
    <xf numFmtId="0" fontId="1" fillId="0" borderId="6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227965</xdr:colOff>
      <xdr:row>0</xdr:row>
      <xdr:rowOff>0</xdr:rowOff>
    </xdr:from>
    <xdr:to>
      <xdr:col>0</xdr:col>
      <xdr:colOff>781050</xdr:colOff>
      <xdr:row>0</xdr:row>
      <xdr:rowOff>866140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7965" y="0"/>
          <a:ext cx="553085" cy="866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304165</xdr:colOff>
      <xdr:row>0</xdr:row>
      <xdr:rowOff>27940</xdr:rowOff>
    </xdr:from>
    <xdr:to>
      <xdr:col>12</xdr:col>
      <xdr:colOff>370205</xdr:colOff>
      <xdr:row>0</xdr:row>
      <xdr:rowOff>695325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0591165" y="27940"/>
          <a:ext cx="683260" cy="667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227965</xdr:colOff>
      <xdr:row>0</xdr:row>
      <xdr:rowOff>0</xdr:rowOff>
    </xdr:from>
    <xdr:to>
      <xdr:col>0</xdr:col>
      <xdr:colOff>781050</xdr:colOff>
      <xdr:row>0</xdr:row>
      <xdr:rowOff>866140</xdr:rowOff>
    </xdr:to>
    <xdr:pic>
      <xdr:nvPicPr>
        <xdr:cNvPr id="4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7965" y="0"/>
          <a:ext cx="553085" cy="866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304165</xdr:colOff>
      <xdr:row>0</xdr:row>
      <xdr:rowOff>27940</xdr:rowOff>
    </xdr:from>
    <xdr:to>
      <xdr:col>12</xdr:col>
      <xdr:colOff>370205</xdr:colOff>
      <xdr:row>0</xdr:row>
      <xdr:rowOff>695325</xdr:rowOff>
    </xdr:to>
    <xdr:pic>
      <xdr:nvPicPr>
        <xdr:cNvPr id="5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0591165" y="27940"/>
          <a:ext cx="683260" cy="6673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VG10645-260604-0001&#25253;&#20851;&#36164;&#26009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合同"/>
      <sheetName val="INVOICE"/>
      <sheetName val="Packing List "/>
      <sheetName val="报关单"/>
    </sheetNames>
    <sheetDataSet>
      <sheetData sheetId="0">
        <row r="5">
          <cell r="G5" t="str">
            <v>RVG10645-260604-0001</v>
          </cell>
        </row>
        <row r="16">
          <cell r="G16">
            <v>90.9</v>
          </cell>
          <cell r="H16">
            <v>909</v>
          </cell>
        </row>
        <row r="17">
          <cell r="G17">
            <v>70.53</v>
          </cell>
          <cell r="H17">
            <v>493.71</v>
          </cell>
        </row>
        <row r="18">
          <cell r="G18">
            <v>21.94</v>
          </cell>
          <cell r="H18">
            <v>175.52</v>
          </cell>
        </row>
        <row r="19">
          <cell r="G19">
            <v>78.36</v>
          </cell>
          <cell r="H19">
            <v>548.52</v>
          </cell>
        </row>
        <row r="20">
          <cell r="G20">
            <v>7.84</v>
          </cell>
          <cell r="H20">
            <v>54.88</v>
          </cell>
        </row>
        <row r="21">
          <cell r="G21">
            <v>84.63</v>
          </cell>
          <cell r="H21">
            <v>1015.56</v>
          </cell>
        </row>
        <row r="22">
          <cell r="G22">
            <v>80.71</v>
          </cell>
          <cell r="H22">
            <v>80.71</v>
          </cell>
        </row>
        <row r="23">
          <cell r="G23">
            <v>59.84</v>
          </cell>
          <cell r="H23">
            <v>418.88</v>
          </cell>
        </row>
        <row r="24">
          <cell r="G24">
            <v>48.44</v>
          </cell>
          <cell r="H24">
            <v>484.4</v>
          </cell>
        </row>
        <row r="25">
          <cell r="G25">
            <v>12.54</v>
          </cell>
          <cell r="H25">
            <v>263.34</v>
          </cell>
        </row>
        <row r="26">
          <cell r="G26">
            <v>72.88</v>
          </cell>
          <cell r="H26">
            <v>510.16</v>
          </cell>
        </row>
        <row r="27">
          <cell r="G27">
            <v>72.66</v>
          </cell>
          <cell r="H27">
            <v>1017.24</v>
          </cell>
        </row>
        <row r="28">
          <cell r="G28">
            <v>33.7</v>
          </cell>
          <cell r="H28">
            <v>235.9</v>
          </cell>
        </row>
        <row r="29">
          <cell r="G29">
            <v>90.9</v>
          </cell>
          <cell r="H29">
            <v>636.3</v>
          </cell>
        </row>
        <row r="30">
          <cell r="G30">
            <v>12.11</v>
          </cell>
          <cell r="H30">
            <v>121.1</v>
          </cell>
        </row>
        <row r="31">
          <cell r="G31">
            <v>17.1</v>
          </cell>
          <cell r="H31">
            <v>171</v>
          </cell>
        </row>
        <row r="32">
          <cell r="G32">
            <v>137.92</v>
          </cell>
          <cell r="H32">
            <v>413.76</v>
          </cell>
        </row>
        <row r="33">
          <cell r="G33">
            <v>132.5</v>
          </cell>
          <cell r="H33">
            <v>397.5</v>
          </cell>
        </row>
        <row r="34">
          <cell r="G34">
            <v>12.25</v>
          </cell>
          <cell r="H34">
            <v>85.75</v>
          </cell>
        </row>
        <row r="35">
          <cell r="G35">
            <v>18.45</v>
          </cell>
          <cell r="H35">
            <v>55.35</v>
          </cell>
        </row>
        <row r="36">
          <cell r="G36">
            <v>172.4</v>
          </cell>
          <cell r="H36">
            <v>517.2</v>
          </cell>
        </row>
        <row r="37">
          <cell r="G37">
            <v>12.82</v>
          </cell>
          <cell r="H37">
            <v>128.2</v>
          </cell>
        </row>
        <row r="38">
          <cell r="G38">
            <v>94.04</v>
          </cell>
          <cell r="H38">
            <v>282.12</v>
          </cell>
        </row>
        <row r="39">
          <cell r="G39">
            <v>8.41</v>
          </cell>
          <cell r="H39">
            <v>84.1</v>
          </cell>
        </row>
        <row r="40">
          <cell r="G40">
            <v>18.81</v>
          </cell>
          <cell r="H40">
            <v>75.24</v>
          </cell>
        </row>
      </sheetData>
      <sheetData sheetId="1"/>
      <sheetData sheetId="2">
        <row r="10">
          <cell r="B10" t="str">
            <v>涡轮增压器</v>
          </cell>
          <cell r="C10" t="str">
            <v>100008-0010</v>
          </cell>
          <cell r="D10" t="str">
            <v>无型号</v>
          </cell>
        </row>
        <row r="11">
          <cell r="B11" t="str">
            <v>节气门</v>
          </cell>
          <cell r="C11" t="str">
            <v>100145-0695</v>
          </cell>
          <cell r="D11" t="str">
            <v>无型号</v>
          </cell>
        </row>
        <row r="12">
          <cell r="B12" t="str">
            <v>暖风电机</v>
          </cell>
          <cell r="C12" t="str">
            <v>30072-0148</v>
          </cell>
          <cell r="D12" t="str">
            <v>无型号</v>
          </cell>
        </row>
        <row r="13">
          <cell r="B13" t="str">
            <v>油底壳</v>
          </cell>
          <cell r="C13" t="str">
            <v>30277-0136</v>
          </cell>
          <cell r="D13" t="str">
            <v>无型号</v>
          </cell>
        </row>
        <row r="14">
          <cell r="B14" t="str">
            <v>玻璃升降器支架</v>
          </cell>
          <cell r="C14" t="str">
            <v>30537-0740</v>
          </cell>
          <cell r="D14" t="str">
            <v>无型号</v>
          </cell>
        </row>
        <row r="15">
          <cell r="B15" t="str">
            <v>涡轮增压器</v>
          </cell>
          <cell r="C15" t="str">
            <v>70037-0010</v>
          </cell>
          <cell r="D15" t="str">
            <v>无型号</v>
          </cell>
        </row>
        <row r="16">
          <cell r="B16" t="str">
            <v>涡轮增压器</v>
          </cell>
          <cell r="C16" t="str">
            <v>JMH70063-0010</v>
          </cell>
          <cell r="D16" t="str">
            <v>无型号</v>
          </cell>
        </row>
        <row r="17">
          <cell r="B17" t="str">
            <v>泳池泵电机</v>
          </cell>
          <cell r="C17" t="str">
            <v>JMH230043-0882</v>
          </cell>
          <cell r="D17" t="str">
            <v>无型号</v>
          </cell>
        </row>
        <row r="18">
          <cell r="B18" t="str">
            <v>气门室盖</v>
          </cell>
          <cell r="C18" t="str">
            <v>80136-0033</v>
          </cell>
          <cell r="D18" t="str">
            <v>无型号</v>
          </cell>
        </row>
        <row r="19">
          <cell r="B19" t="str">
            <v>碳罐</v>
          </cell>
          <cell r="C19" t="str">
            <v>40143-0453</v>
          </cell>
          <cell r="D19" t="str">
            <v>无型号</v>
          </cell>
        </row>
        <row r="20">
          <cell r="B20" t="str">
            <v>涡轮增压器</v>
          </cell>
          <cell r="C20" t="str">
            <v>60070-0010</v>
          </cell>
          <cell r="D20" t="str">
            <v>无型号</v>
          </cell>
        </row>
        <row r="21">
          <cell r="B21" t="str">
            <v>气门室盖</v>
          </cell>
          <cell r="C21" t="str">
            <v>50394-0033</v>
          </cell>
          <cell r="D21" t="str">
            <v>无型号</v>
          </cell>
        </row>
        <row r="22">
          <cell r="B22" t="str">
            <v>气门室盖</v>
          </cell>
          <cell r="C22" t="str">
            <v>JMH50397-0115</v>
          </cell>
          <cell r="D22" t="str">
            <v>无型号</v>
          </cell>
        </row>
        <row r="23">
          <cell r="B23" t="str">
            <v>涡轮增压器</v>
          </cell>
          <cell r="C23" t="str">
            <v>40250-0010</v>
          </cell>
          <cell r="D23" t="str">
            <v>无型号</v>
          </cell>
        </row>
        <row r="24">
          <cell r="B24" t="str">
            <v>油底壳</v>
          </cell>
          <cell r="C24" t="str">
            <v>JMH10361-0661</v>
          </cell>
          <cell r="D24" t="str">
            <v>无型号</v>
          </cell>
        </row>
        <row r="25">
          <cell r="B25" t="str">
            <v>气门室盖</v>
          </cell>
          <cell r="C25" t="str">
            <v>JMH120019-0661</v>
          </cell>
          <cell r="D25" t="str">
            <v>无型号</v>
          </cell>
        </row>
        <row r="26">
          <cell r="B26" t="str">
            <v>变速箱摩擦片包</v>
          </cell>
          <cell r="C26" t="str">
            <v>250002-0695</v>
          </cell>
          <cell r="D26" t="str">
            <v>无型号</v>
          </cell>
        </row>
        <row r="27">
          <cell r="B27" t="str">
            <v>电子涡轮执行机构</v>
          </cell>
          <cell r="C27" t="str">
            <v>170069-0289</v>
          </cell>
          <cell r="D27" t="str">
            <v>无型号</v>
          </cell>
        </row>
        <row r="28">
          <cell r="B28" t="str">
            <v>暖风电机</v>
          </cell>
          <cell r="C28" t="str">
            <v>20317-0148</v>
          </cell>
          <cell r="D28" t="str">
            <v>无型号</v>
          </cell>
        </row>
        <row r="29">
          <cell r="B29" t="str">
            <v>尿素喷嘴</v>
          </cell>
          <cell r="C29" t="str">
            <v>10653-1080</v>
          </cell>
          <cell r="D29" t="str">
            <v>无型号</v>
          </cell>
        </row>
        <row r="30">
          <cell r="B30" t="str">
            <v>差速器</v>
          </cell>
          <cell r="C30" t="str">
            <v>250005-0695</v>
          </cell>
          <cell r="D30" t="str">
            <v>无型号</v>
          </cell>
        </row>
        <row r="31">
          <cell r="B31" t="str">
            <v>液压传动阀</v>
          </cell>
          <cell r="C31" t="str">
            <v>JMH220058-0346</v>
          </cell>
          <cell r="D31" t="str">
            <v>无型号</v>
          </cell>
        </row>
        <row r="32">
          <cell r="B32" t="str">
            <v>变速箱摩擦片包</v>
          </cell>
          <cell r="C32" t="str">
            <v>250003-0695</v>
          </cell>
          <cell r="D32" t="str">
            <v>无型号</v>
          </cell>
        </row>
        <row r="33">
          <cell r="B33" t="str">
            <v>油水分离器</v>
          </cell>
          <cell r="C33" t="str">
            <v>JMH10198-0581</v>
          </cell>
          <cell r="D33" t="str">
            <v>无型号</v>
          </cell>
        </row>
        <row r="34">
          <cell r="B34" t="str">
            <v>滤清器总成</v>
          </cell>
          <cell r="C34" t="str">
            <v>JMH90105-0335</v>
          </cell>
          <cell r="D34" t="str">
            <v>无型号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tabSelected="1" workbookViewId="0">
      <selection activeCell="O7" sqref="O7"/>
    </sheetView>
  </sheetViews>
  <sheetFormatPr defaultColWidth="9" defaultRowHeight="14.4"/>
  <cols>
    <col min="1" max="1" width="18.8888888888889" customWidth="1"/>
    <col min="2" max="2" width="39.1111111111111" customWidth="1"/>
    <col min="5" max="5" width="20" customWidth="1"/>
  </cols>
  <sheetData>
    <row r="1" s="1" customFormat="1" ht="80.15" customHeight="1" spans="1:13">
      <c r="A1" s="4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s="2" customFormat="1" ht="24.75" customHeight="1" spans="1:13">
      <c r="A2" s="7" t="s">
        <v>1</v>
      </c>
      <c r="B2" s="7"/>
      <c r="C2" s="7" t="s">
        <v>2</v>
      </c>
      <c r="D2" s="8"/>
      <c r="E2" s="9"/>
      <c r="F2" s="10"/>
      <c r="G2" s="7"/>
      <c r="H2" s="7"/>
      <c r="I2" s="7"/>
      <c r="J2" s="7"/>
      <c r="K2" s="7"/>
      <c r="L2" s="7"/>
      <c r="M2" s="7" t="s">
        <v>3</v>
      </c>
    </row>
    <row r="3" s="2" customFormat="1" ht="24.75" customHeight="1" spans="1:13">
      <c r="A3" s="11" t="s">
        <v>4</v>
      </c>
      <c r="B3" s="12" t="s">
        <v>5</v>
      </c>
      <c r="C3" s="11" t="s">
        <v>6</v>
      </c>
      <c r="D3" s="8"/>
      <c r="E3" s="9"/>
      <c r="F3" s="11" t="s">
        <v>7</v>
      </c>
      <c r="G3" s="13"/>
      <c r="H3" s="11" t="s">
        <v>8</v>
      </c>
      <c r="I3" s="13" t="s">
        <v>9</v>
      </c>
      <c r="J3" s="14"/>
      <c r="K3" s="11" t="s">
        <v>10</v>
      </c>
      <c r="L3" s="11"/>
      <c r="M3" s="11"/>
    </row>
    <row r="4" s="2" customFormat="1" ht="18" customHeight="1" spans="1:13">
      <c r="A4" s="15" t="s">
        <v>11</v>
      </c>
      <c r="B4" s="16" t="s">
        <v>12</v>
      </c>
      <c r="C4" s="11" t="s">
        <v>13</v>
      </c>
      <c r="D4" s="8"/>
      <c r="E4" s="9"/>
      <c r="F4" s="11" t="s">
        <v>14</v>
      </c>
      <c r="G4" s="14"/>
      <c r="H4" s="11" t="s">
        <v>15</v>
      </c>
      <c r="I4" s="11"/>
      <c r="J4" s="11"/>
      <c r="K4" s="11"/>
      <c r="L4" s="11"/>
      <c r="M4" s="11"/>
    </row>
    <row r="5" s="2" customFormat="1" ht="24.75" customHeight="1" spans="1:13">
      <c r="A5" s="11" t="s">
        <v>16</v>
      </c>
      <c r="B5" s="12" t="s">
        <v>5</v>
      </c>
      <c r="C5" s="11" t="s">
        <v>17</v>
      </c>
      <c r="D5" s="8" t="s">
        <v>18</v>
      </c>
      <c r="E5" s="9" t="s">
        <v>18</v>
      </c>
      <c r="F5" s="11" t="s">
        <v>19</v>
      </c>
      <c r="G5" s="12" t="s">
        <v>20</v>
      </c>
      <c r="H5" s="11" t="s">
        <v>21</v>
      </c>
      <c r="I5" s="11"/>
      <c r="J5" s="11"/>
      <c r="K5" s="11"/>
      <c r="L5" s="11"/>
      <c r="M5" s="11"/>
    </row>
    <row r="6" s="2" customFormat="1" ht="24.75" customHeight="1" spans="1:13">
      <c r="A6" s="11" t="s">
        <v>22</v>
      </c>
      <c r="B6" s="12" t="str">
        <f>[1]合同!G5</f>
        <v>RVG10645-260604-0001</v>
      </c>
      <c r="C6" s="11" t="s">
        <v>23</v>
      </c>
      <c r="D6" s="8" t="s">
        <v>24</v>
      </c>
      <c r="E6" s="9"/>
      <c r="F6" s="11" t="s">
        <v>25</v>
      </c>
      <c r="G6" s="14" t="s">
        <v>24</v>
      </c>
      <c r="H6" s="11" t="s">
        <v>26</v>
      </c>
      <c r="I6" s="14" t="s">
        <v>9</v>
      </c>
      <c r="J6" s="14"/>
      <c r="K6" s="11" t="s">
        <v>27</v>
      </c>
      <c r="L6" s="14" t="s">
        <v>9</v>
      </c>
      <c r="M6" s="14"/>
    </row>
    <row r="7" s="2" customFormat="1" ht="24.75" customHeight="1" spans="1:13">
      <c r="A7" s="11" t="s">
        <v>28</v>
      </c>
      <c r="B7" s="12" t="s">
        <v>29</v>
      </c>
      <c r="C7" s="17" t="s">
        <v>30</v>
      </c>
      <c r="D7" s="8" t="s">
        <v>31</v>
      </c>
      <c r="E7" s="9"/>
      <c r="F7" s="17" t="s">
        <v>32</v>
      </c>
      <c r="G7" s="18" t="s">
        <v>33</v>
      </c>
      <c r="H7" s="11" t="s">
        <v>34</v>
      </c>
      <c r="I7" s="11"/>
      <c r="J7" s="11" t="s">
        <v>35</v>
      </c>
      <c r="K7" s="11"/>
      <c r="L7" s="11" t="s">
        <v>36</v>
      </c>
      <c r="M7" s="11"/>
    </row>
    <row r="8" s="2" customFormat="1" ht="24.75" customHeight="1" spans="1:13">
      <c r="A8" s="19" t="s">
        <v>37</v>
      </c>
      <c r="B8" s="20" t="s">
        <v>38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</row>
    <row r="9" s="2" customFormat="1" ht="30" customHeight="1" spans="1:13">
      <c r="A9" s="22" t="s">
        <v>39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4"/>
    </row>
    <row r="10" s="3" customFormat="1" ht="54" spans="1:13">
      <c r="A10" s="25" t="s">
        <v>40</v>
      </c>
      <c r="B10" s="26" t="s">
        <v>41</v>
      </c>
      <c r="C10" s="27" t="s">
        <v>42</v>
      </c>
      <c r="D10" s="28" t="s">
        <v>43</v>
      </c>
      <c r="E10" s="27" t="s">
        <v>44</v>
      </c>
      <c r="F10" s="26" t="s">
        <v>45</v>
      </c>
      <c r="G10" s="29" t="s">
        <v>46</v>
      </c>
      <c r="H10" s="30" t="s">
        <v>47</v>
      </c>
      <c r="I10" s="26" t="s">
        <v>48</v>
      </c>
      <c r="J10" s="26"/>
      <c r="K10" s="26" t="s">
        <v>49</v>
      </c>
      <c r="L10" s="26"/>
      <c r="M10" s="31" t="s">
        <v>50</v>
      </c>
    </row>
    <row r="11" ht="37.8" spans="1:13">
      <c r="A11" s="32">
        <v>1</v>
      </c>
      <c r="B11" s="33" t="s">
        <v>51</v>
      </c>
      <c r="C11" s="34" t="str">
        <f>'[1]Packing List '!B10</f>
        <v>涡轮增压器</v>
      </c>
      <c r="D11" s="34" t="str">
        <f>'[1]Packing List '!C10</f>
        <v>100008-0010</v>
      </c>
      <c r="E11" s="34" t="str">
        <f>'[1]Packing List '!D10</f>
        <v>无型号</v>
      </c>
      <c r="F11" s="35" t="s">
        <v>52</v>
      </c>
      <c r="G11" s="35" t="str">
        <f>[1]合同!G16&amp;"/"&amp;[1]合同!H16&amp;"/"&amp;"USD"</f>
        <v>90.9/909/USD</v>
      </c>
      <c r="H11" s="36" t="s">
        <v>53</v>
      </c>
      <c r="I11" s="36" t="s">
        <v>24</v>
      </c>
      <c r="J11" s="35"/>
      <c r="K11" s="37" t="s">
        <v>54</v>
      </c>
      <c r="L11" s="37"/>
      <c r="M11" s="38" t="s">
        <v>55</v>
      </c>
    </row>
    <row r="12" ht="37.8" spans="1:13">
      <c r="A12" s="32">
        <v>2</v>
      </c>
      <c r="B12" s="33" t="s">
        <v>56</v>
      </c>
      <c r="C12" s="34" t="str">
        <f>'[1]Packing List '!B11</f>
        <v>节气门</v>
      </c>
      <c r="D12" s="34" t="str">
        <f>'[1]Packing List '!C11</f>
        <v>100145-0695</v>
      </c>
      <c r="E12" s="34" t="str">
        <f>'[1]Packing List '!D11</f>
        <v>无型号</v>
      </c>
      <c r="F12" s="35" t="s">
        <v>57</v>
      </c>
      <c r="G12" s="35" t="str">
        <f>[1]合同!G17&amp;"/"&amp;[1]合同!H17&amp;"/"&amp;"USD"</f>
        <v>70.53/493.71/USD</v>
      </c>
      <c r="H12" s="36" t="s">
        <v>53</v>
      </c>
      <c r="I12" s="36" t="s">
        <v>24</v>
      </c>
      <c r="J12" s="35"/>
      <c r="K12" s="37" t="s">
        <v>58</v>
      </c>
      <c r="L12" s="37"/>
      <c r="M12" s="38" t="s">
        <v>55</v>
      </c>
    </row>
    <row r="13" ht="27.6" spans="1:13">
      <c r="A13" s="32">
        <v>3</v>
      </c>
      <c r="B13" s="33" t="s">
        <v>59</v>
      </c>
      <c r="C13" s="34" t="str">
        <f>'[1]Packing List '!B12</f>
        <v>暖风电机</v>
      </c>
      <c r="D13" s="34" t="str">
        <f>'[1]Packing List '!C12</f>
        <v>30072-0148</v>
      </c>
      <c r="E13" s="34" t="str">
        <f>'[1]Packing List '!D12</f>
        <v>无型号</v>
      </c>
      <c r="F13" s="35" t="s">
        <v>60</v>
      </c>
      <c r="G13" s="35" t="str">
        <f>[1]合同!G18&amp;"/"&amp;[1]合同!H18&amp;"/"&amp;"USD"</f>
        <v>21.94/175.52/USD</v>
      </c>
      <c r="H13" s="36" t="s">
        <v>53</v>
      </c>
      <c r="I13" s="36" t="s">
        <v>24</v>
      </c>
      <c r="J13" s="35"/>
      <c r="K13" s="37" t="s">
        <v>61</v>
      </c>
      <c r="L13" s="37"/>
      <c r="M13" s="38" t="s">
        <v>55</v>
      </c>
    </row>
    <row r="14" ht="37.8" spans="1:13">
      <c r="A14" s="32">
        <v>4</v>
      </c>
      <c r="B14" s="33" t="s">
        <v>62</v>
      </c>
      <c r="C14" s="34" t="str">
        <f>'[1]Packing List '!B13</f>
        <v>油底壳</v>
      </c>
      <c r="D14" s="34" t="str">
        <f>'[1]Packing List '!C13</f>
        <v>30277-0136</v>
      </c>
      <c r="E14" s="34" t="str">
        <f>'[1]Packing List '!D13</f>
        <v>无型号</v>
      </c>
      <c r="F14" s="35" t="s">
        <v>63</v>
      </c>
      <c r="G14" s="35" t="str">
        <f>[1]合同!G19&amp;"/"&amp;[1]合同!H19&amp;"/"&amp;"USD"</f>
        <v>78.36/548.52/USD</v>
      </c>
      <c r="H14" s="36" t="s">
        <v>53</v>
      </c>
      <c r="I14" s="36" t="s">
        <v>24</v>
      </c>
      <c r="J14" s="35"/>
      <c r="K14" s="37" t="s">
        <v>64</v>
      </c>
      <c r="L14" s="37"/>
      <c r="M14" s="38" t="s">
        <v>55</v>
      </c>
    </row>
    <row r="15" ht="37.8" spans="1:13">
      <c r="A15" s="32">
        <v>5</v>
      </c>
      <c r="B15" s="33" t="s">
        <v>65</v>
      </c>
      <c r="C15" s="34" t="str">
        <f>'[1]Packing List '!B14</f>
        <v>玻璃升降器支架</v>
      </c>
      <c r="D15" s="34" t="str">
        <f>'[1]Packing List '!C14</f>
        <v>30537-0740</v>
      </c>
      <c r="E15" s="34" t="str">
        <f>'[1]Packing List '!D14</f>
        <v>无型号</v>
      </c>
      <c r="F15" s="35" t="s">
        <v>66</v>
      </c>
      <c r="G15" s="35" t="str">
        <f>[1]合同!G20&amp;"/"&amp;[1]合同!H20&amp;"/"&amp;"USD"</f>
        <v>7.84/54.88/USD</v>
      </c>
      <c r="H15" s="36" t="s">
        <v>53</v>
      </c>
      <c r="I15" s="36" t="s">
        <v>24</v>
      </c>
      <c r="J15" s="35"/>
      <c r="K15" s="37" t="s">
        <v>67</v>
      </c>
      <c r="L15" s="37"/>
      <c r="M15" s="38" t="s">
        <v>55</v>
      </c>
    </row>
    <row r="16" ht="37.8" spans="1:13">
      <c r="A16" s="32">
        <v>6</v>
      </c>
      <c r="B16" s="33" t="s">
        <v>68</v>
      </c>
      <c r="C16" s="34" t="str">
        <f>'[1]Packing List '!B15</f>
        <v>涡轮增压器</v>
      </c>
      <c r="D16" s="34" t="str">
        <f>'[1]Packing List '!C15</f>
        <v>70037-0010</v>
      </c>
      <c r="E16" s="34" t="str">
        <f>'[1]Packing List '!D15</f>
        <v>无型号</v>
      </c>
      <c r="F16" s="35" t="s">
        <v>69</v>
      </c>
      <c r="G16" s="35" t="str">
        <f>[1]合同!G21&amp;"/"&amp;[1]合同!H21&amp;"/"&amp;"USD"</f>
        <v>84.63/1015.56/USD</v>
      </c>
      <c r="H16" s="36" t="s">
        <v>53</v>
      </c>
      <c r="I16" s="36" t="s">
        <v>24</v>
      </c>
      <c r="J16" s="35"/>
      <c r="K16" s="37" t="s">
        <v>54</v>
      </c>
      <c r="L16" s="37"/>
      <c r="M16" s="38" t="s">
        <v>55</v>
      </c>
    </row>
    <row r="17" ht="37.8" spans="1:13">
      <c r="A17" s="32">
        <v>7</v>
      </c>
      <c r="B17" s="33" t="s">
        <v>70</v>
      </c>
      <c r="C17" s="34" t="str">
        <f>'[1]Packing List '!B16</f>
        <v>涡轮增压器</v>
      </c>
      <c r="D17" s="34" t="str">
        <f>'[1]Packing List '!C16</f>
        <v>JMH70063-0010</v>
      </c>
      <c r="E17" s="34" t="str">
        <f>'[1]Packing List '!D16</f>
        <v>无型号</v>
      </c>
      <c r="F17" s="35" t="s">
        <v>71</v>
      </c>
      <c r="G17" s="35" t="str">
        <f>[1]合同!G22&amp;"/"&amp;[1]合同!H22&amp;"/"&amp;"USD"</f>
        <v>80.71/80.71/USD</v>
      </c>
      <c r="H17" s="36" t="s">
        <v>53</v>
      </c>
      <c r="I17" s="36" t="s">
        <v>24</v>
      </c>
      <c r="J17" s="35"/>
      <c r="K17" s="37" t="s">
        <v>54</v>
      </c>
      <c r="L17" s="37"/>
      <c r="M17" s="38" t="s">
        <v>55</v>
      </c>
    </row>
    <row r="18" ht="37.8" spans="1:13">
      <c r="A18" s="32">
        <v>8</v>
      </c>
      <c r="B18" s="33" t="s">
        <v>72</v>
      </c>
      <c r="C18" s="34" t="str">
        <f>'[1]Packing List '!B17</f>
        <v>泳池泵电机</v>
      </c>
      <c r="D18" s="34" t="str">
        <f>'[1]Packing List '!C17</f>
        <v>JMH230043-0882</v>
      </c>
      <c r="E18" s="34" t="str">
        <f>'[1]Packing List '!D17</f>
        <v>无型号</v>
      </c>
      <c r="F18" s="39" t="s">
        <v>73</v>
      </c>
      <c r="G18" s="35" t="str">
        <f>[1]合同!G23&amp;"/"&amp;[1]合同!H23&amp;"/"&amp;"USD"</f>
        <v>59.84/418.88/USD</v>
      </c>
      <c r="H18" s="36" t="s">
        <v>53</v>
      </c>
      <c r="I18" s="36" t="s">
        <v>24</v>
      </c>
      <c r="J18" s="35"/>
      <c r="K18" s="37" t="s">
        <v>74</v>
      </c>
      <c r="L18" s="37"/>
      <c r="M18" s="38" t="s">
        <v>55</v>
      </c>
    </row>
    <row r="19" ht="37.8" spans="1:13">
      <c r="A19" s="32">
        <v>9</v>
      </c>
      <c r="B19" s="33" t="s">
        <v>75</v>
      </c>
      <c r="C19" s="34" t="str">
        <f>'[1]Packing List '!B18</f>
        <v>气门室盖</v>
      </c>
      <c r="D19" s="34" t="str">
        <f>'[1]Packing List '!C18</f>
        <v>80136-0033</v>
      </c>
      <c r="E19" s="34" t="str">
        <f>'[1]Packing List '!D18</f>
        <v>无型号</v>
      </c>
      <c r="F19" s="35" t="s">
        <v>76</v>
      </c>
      <c r="G19" s="35" t="str">
        <f>[1]合同!G24&amp;"/"&amp;[1]合同!H24&amp;"/"&amp;"USD"</f>
        <v>48.44/484.4/USD</v>
      </c>
      <c r="H19" s="36" t="s">
        <v>53</v>
      </c>
      <c r="I19" s="36" t="s">
        <v>24</v>
      </c>
      <c r="J19" s="35"/>
      <c r="K19" s="37" t="s">
        <v>77</v>
      </c>
      <c r="L19" s="37"/>
      <c r="M19" s="38" t="s">
        <v>55</v>
      </c>
    </row>
    <row r="20" ht="37.8" spans="1:13">
      <c r="A20" s="32">
        <v>10</v>
      </c>
      <c r="B20" s="33" t="s">
        <v>78</v>
      </c>
      <c r="C20" s="34" t="str">
        <f>'[1]Packing List '!B19</f>
        <v>碳罐</v>
      </c>
      <c r="D20" s="34" t="str">
        <f>'[1]Packing List '!C19</f>
        <v>40143-0453</v>
      </c>
      <c r="E20" s="34" t="str">
        <f>'[1]Packing List '!D19</f>
        <v>无型号</v>
      </c>
      <c r="F20" s="35" t="s">
        <v>79</v>
      </c>
      <c r="G20" s="35" t="str">
        <f>[1]合同!G25&amp;"/"&amp;[1]合同!H25&amp;"/"&amp;"USD"</f>
        <v>12.54/263.34/USD</v>
      </c>
      <c r="H20" s="36" t="s">
        <v>53</v>
      </c>
      <c r="I20" s="36" t="s">
        <v>24</v>
      </c>
      <c r="J20" s="35"/>
      <c r="K20" s="37" t="s">
        <v>64</v>
      </c>
      <c r="L20" s="37"/>
      <c r="M20" s="38" t="s">
        <v>55</v>
      </c>
    </row>
    <row r="21" ht="37.8" spans="1:13">
      <c r="A21" s="32">
        <v>11</v>
      </c>
      <c r="B21" s="33" t="s">
        <v>80</v>
      </c>
      <c r="C21" s="34" t="str">
        <f>'[1]Packing List '!B20</f>
        <v>涡轮增压器</v>
      </c>
      <c r="D21" s="34" t="str">
        <f>'[1]Packing List '!C20</f>
        <v>60070-0010</v>
      </c>
      <c r="E21" s="34" t="str">
        <f>'[1]Packing List '!D20</f>
        <v>无型号</v>
      </c>
      <c r="F21" s="35" t="s">
        <v>81</v>
      </c>
      <c r="G21" s="35" t="str">
        <f>[1]合同!G26&amp;"/"&amp;[1]合同!H26&amp;"/"&amp;"USD"</f>
        <v>72.88/510.16/USD</v>
      </c>
      <c r="H21" s="36" t="s">
        <v>53</v>
      </c>
      <c r="I21" s="36" t="s">
        <v>24</v>
      </c>
      <c r="J21" s="35"/>
      <c r="K21" s="37" t="s">
        <v>54</v>
      </c>
      <c r="L21" s="37"/>
      <c r="M21" s="38" t="s">
        <v>55</v>
      </c>
    </row>
    <row r="22" ht="37.8" spans="1:13">
      <c r="A22" s="32">
        <v>12</v>
      </c>
      <c r="B22" s="33" t="s">
        <v>82</v>
      </c>
      <c r="C22" s="34" t="str">
        <f>'[1]Packing List '!B21</f>
        <v>气门室盖</v>
      </c>
      <c r="D22" s="34" t="str">
        <f>'[1]Packing List '!C21</f>
        <v>50394-0033</v>
      </c>
      <c r="E22" s="34" t="str">
        <f>'[1]Packing List '!D21</f>
        <v>无型号</v>
      </c>
      <c r="F22" s="35" t="s">
        <v>83</v>
      </c>
      <c r="G22" s="35" t="str">
        <f>[1]合同!G27&amp;"/"&amp;[1]合同!H27&amp;"/"&amp;"USD"</f>
        <v>72.66/1017.24/USD</v>
      </c>
      <c r="H22" s="36" t="s">
        <v>53</v>
      </c>
      <c r="I22" s="36" t="s">
        <v>24</v>
      </c>
      <c r="J22" s="35"/>
      <c r="K22" s="37" t="s">
        <v>77</v>
      </c>
      <c r="L22" s="37"/>
      <c r="M22" s="38" t="s">
        <v>55</v>
      </c>
    </row>
    <row r="23" ht="37.8" spans="1:13">
      <c r="A23" s="32">
        <v>13</v>
      </c>
      <c r="B23" s="33" t="s">
        <v>84</v>
      </c>
      <c r="C23" s="34" t="str">
        <f>'[1]Packing List '!B22</f>
        <v>气门室盖</v>
      </c>
      <c r="D23" s="34" t="str">
        <f>'[1]Packing List '!C22</f>
        <v>JMH50397-0115</v>
      </c>
      <c r="E23" s="34" t="str">
        <f>'[1]Packing List '!D22</f>
        <v>无型号</v>
      </c>
      <c r="F23" s="39" t="s">
        <v>85</v>
      </c>
      <c r="G23" s="35" t="str">
        <f>[1]合同!G28&amp;"/"&amp;[1]合同!H28&amp;"/"&amp;"USD"</f>
        <v>33.7/235.9/USD</v>
      </c>
      <c r="H23" s="36" t="s">
        <v>53</v>
      </c>
      <c r="I23" s="36" t="s">
        <v>24</v>
      </c>
      <c r="J23" s="35"/>
      <c r="K23" s="37" t="s">
        <v>86</v>
      </c>
      <c r="L23" s="37"/>
      <c r="M23" s="38" t="s">
        <v>55</v>
      </c>
    </row>
    <row r="24" ht="37.8" spans="1:13">
      <c r="A24" s="32">
        <v>14</v>
      </c>
      <c r="B24" s="33" t="s">
        <v>87</v>
      </c>
      <c r="C24" s="34" t="str">
        <f>'[1]Packing List '!B23</f>
        <v>涡轮增压器</v>
      </c>
      <c r="D24" s="34" t="str">
        <f>'[1]Packing List '!C23</f>
        <v>40250-0010</v>
      </c>
      <c r="E24" s="34" t="str">
        <f>'[1]Packing List '!D23</f>
        <v>无型号</v>
      </c>
      <c r="F24" s="35" t="s">
        <v>88</v>
      </c>
      <c r="G24" s="35" t="str">
        <f>[1]合同!G29&amp;"/"&amp;[1]合同!H29&amp;"/"&amp;"USD"</f>
        <v>90.9/636.3/USD</v>
      </c>
      <c r="H24" s="36" t="s">
        <v>53</v>
      </c>
      <c r="I24" s="36" t="s">
        <v>24</v>
      </c>
      <c r="J24" s="35"/>
      <c r="K24" s="37" t="s">
        <v>54</v>
      </c>
      <c r="L24" s="37"/>
      <c r="M24" s="38" t="s">
        <v>55</v>
      </c>
    </row>
    <row r="25" ht="37.8" spans="1:13">
      <c r="A25" s="32">
        <v>15</v>
      </c>
      <c r="B25" s="33" t="s">
        <v>89</v>
      </c>
      <c r="C25" s="34" t="str">
        <f>'[1]Packing List '!B24</f>
        <v>油底壳</v>
      </c>
      <c r="D25" s="34" t="str">
        <f>'[1]Packing List '!C24</f>
        <v>JMH10361-0661</v>
      </c>
      <c r="E25" s="34" t="str">
        <f>'[1]Packing List '!D24</f>
        <v>无型号</v>
      </c>
      <c r="F25" s="35" t="s">
        <v>90</v>
      </c>
      <c r="G25" s="35" t="str">
        <f>[1]合同!G30&amp;"/"&amp;[1]合同!H30&amp;"/"&amp;"USD"</f>
        <v>12.11/121.1/USD</v>
      </c>
      <c r="H25" s="36" t="s">
        <v>53</v>
      </c>
      <c r="I25" s="36" t="s">
        <v>24</v>
      </c>
      <c r="J25" s="35"/>
      <c r="K25" s="37" t="s">
        <v>64</v>
      </c>
      <c r="L25" s="37"/>
      <c r="M25" s="38" t="s">
        <v>55</v>
      </c>
    </row>
    <row r="26" ht="37.8" spans="1:13">
      <c r="A26" s="32">
        <v>16</v>
      </c>
      <c r="B26" s="33" t="s">
        <v>91</v>
      </c>
      <c r="C26" s="34" t="str">
        <f>'[1]Packing List '!B25</f>
        <v>气门室盖</v>
      </c>
      <c r="D26" s="34" t="str">
        <f>'[1]Packing List '!C25</f>
        <v>JMH120019-0661</v>
      </c>
      <c r="E26" s="34" t="str">
        <f>'[1]Packing List '!D25</f>
        <v>无型号</v>
      </c>
      <c r="F26" s="35" t="s">
        <v>92</v>
      </c>
      <c r="G26" s="35" t="str">
        <f>[1]合同!G31&amp;"/"&amp;[1]合同!H31&amp;"/"&amp;"USD"</f>
        <v>17.1/171/USD</v>
      </c>
      <c r="H26" s="36" t="s">
        <v>53</v>
      </c>
      <c r="I26" s="36" t="s">
        <v>24</v>
      </c>
      <c r="J26" s="35"/>
      <c r="K26" s="37" t="s">
        <v>64</v>
      </c>
      <c r="L26" s="37"/>
      <c r="M26" s="38" t="s">
        <v>55</v>
      </c>
    </row>
    <row r="27" ht="37.8" spans="1:13">
      <c r="A27" s="32">
        <v>17</v>
      </c>
      <c r="B27" s="33" t="s">
        <v>93</v>
      </c>
      <c r="C27" s="34" t="str">
        <f>'[1]Packing List '!B26</f>
        <v>变速箱摩擦片包</v>
      </c>
      <c r="D27" s="34" t="str">
        <f>'[1]Packing List '!C26</f>
        <v>250002-0695</v>
      </c>
      <c r="E27" s="34" t="str">
        <f>'[1]Packing List '!D26</f>
        <v>无型号</v>
      </c>
      <c r="F27" s="35" t="s">
        <v>94</v>
      </c>
      <c r="G27" s="35" t="str">
        <f>[1]合同!G32&amp;"/"&amp;[1]合同!H32&amp;"/"&amp;"USD"</f>
        <v>137.92/413.76/USD</v>
      </c>
      <c r="H27" s="36" t="s">
        <v>53</v>
      </c>
      <c r="I27" s="36" t="s">
        <v>24</v>
      </c>
      <c r="J27" s="35"/>
      <c r="K27" s="37" t="s">
        <v>58</v>
      </c>
      <c r="L27" s="37"/>
      <c r="M27" s="38" t="s">
        <v>55</v>
      </c>
    </row>
    <row r="28" ht="37.8" spans="1:13">
      <c r="A28" s="32">
        <v>18</v>
      </c>
      <c r="B28" s="33" t="s">
        <v>95</v>
      </c>
      <c r="C28" s="34" t="str">
        <f>'[1]Packing List '!B27</f>
        <v>电子涡轮执行机构</v>
      </c>
      <c r="D28" s="34" t="str">
        <f>'[1]Packing List '!C27</f>
        <v>170069-0289</v>
      </c>
      <c r="E28" s="34" t="str">
        <f>'[1]Packing List '!D27</f>
        <v>无型号</v>
      </c>
      <c r="F28" s="35" t="s">
        <v>96</v>
      </c>
      <c r="G28" s="35" t="str">
        <f>[1]合同!G33&amp;"/"&amp;[1]合同!H33&amp;"/"&amp;"USD"</f>
        <v>132.5/397.5/USD</v>
      </c>
      <c r="H28" s="36" t="s">
        <v>53</v>
      </c>
      <c r="I28" s="36" t="s">
        <v>24</v>
      </c>
      <c r="J28" s="35"/>
      <c r="K28" s="37" t="s">
        <v>97</v>
      </c>
      <c r="L28" s="37"/>
      <c r="M28" s="38" t="s">
        <v>55</v>
      </c>
    </row>
    <row r="29" ht="27.6" spans="1:13">
      <c r="A29" s="32">
        <v>19</v>
      </c>
      <c r="B29" s="33" t="s">
        <v>98</v>
      </c>
      <c r="C29" s="34" t="str">
        <f>'[1]Packing List '!B28</f>
        <v>暖风电机</v>
      </c>
      <c r="D29" s="34" t="str">
        <f>'[1]Packing List '!C28</f>
        <v>20317-0148</v>
      </c>
      <c r="E29" s="34" t="str">
        <f>'[1]Packing List '!D28</f>
        <v>无型号</v>
      </c>
      <c r="F29" s="35" t="s">
        <v>99</v>
      </c>
      <c r="G29" s="35" t="str">
        <f>[1]合同!G34&amp;"/"&amp;[1]合同!H34&amp;"/"&amp;"USD"</f>
        <v>12.25/85.75/USD</v>
      </c>
      <c r="H29" s="36" t="s">
        <v>53</v>
      </c>
      <c r="I29" s="36" t="s">
        <v>24</v>
      </c>
      <c r="J29" s="35"/>
      <c r="K29" s="37" t="s">
        <v>61</v>
      </c>
      <c r="L29" s="37"/>
      <c r="M29" s="38" t="s">
        <v>55</v>
      </c>
    </row>
    <row r="30" ht="37.8" spans="1:13">
      <c r="A30" s="32">
        <v>20</v>
      </c>
      <c r="B30" s="33" t="s">
        <v>100</v>
      </c>
      <c r="C30" s="34" t="str">
        <f>'[1]Packing List '!B29</f>
        <v>尿素喷嘴</v>
      </c>
      <c r="D30" s="34" t="str">
        <f>'[1]Packing List '!C29</f>
        <v>10653-1080</v>
      </c>
      <c r="E30" s="34" t="str">
        <f>'[1]Packing List '!D29</f>
        <v>无型号</v>
      </c>
      <c r="F30" s="35" t="s">
        <v>101</v>
      </c>
      <c r="G30" s="35" t="str">
        <f>[1]合同!G35&amp;"/"&amp;[1]合同!H35&amp;"/"&amp;"USD"</f>
        <v>18.45/55.35/USD</v>
      </c>
      <c r="H30" s="36" t="s">
        <v>53</v>
      </c>
      <c r="I30" s="36" t="s">
        <v>24</v>
      </c>
      <c r="J30" s="35"/>
      <c r="K30" s="37" t="s">
        <v>102</v>
      </c>
      <c r="L30" s="37"/>
      <c r="M30" s="38" t="s">
        <v>55</v>
      </c>
    </row>
    <row r="31" ht="37.8" spans="1:13">
      <c r="A31" s="32">
        <v>21</v>
      </c>
      <c r="B31" s="33" t="s">
        <v>103</v>
      </c>
      <c r="C31" s="34" t="str">
        <f>'[1]Packing List '!B30</f>
        <v>差速器</v>
      </c>
      <c r="D31" s="34" t="str">
        <f>'[1]Packing List '!C30</f>
        <v>250005-0695</v>
      </c>
      <c r="E31" s="34" t="str">
        <f>'[1]Packing List '!D30</f>
        <v>无型号</v>
      </c>
      <c r="F31" s="35" t="s">
        <v>104</v>
      </c>
      <c r="G31" s="35" t="str">
        <f>[1]合同!G36&amp;"/"&amp;[1]合同!H36&amp;"/"&amp;"USD"</f>
        <v>172.4/517.2/USD</v>
      </c>
      <c r="H31" s="36" t="s">
        <v>53</v>
      </c>
      <c r="I31" s="36" t="s">
        <v>24</v>
      </c>
      <c r="J31" s="35"/>
      <c r="K31" s="37" t="s">
        <v>58</v>
      </c>
      <c r="L31" s="37"/>
      <c r="M31" s="38" t="s">
        <v>55</v>
      </c>
    </row>
    <row r="32" ht="37.8" spans="1:13">
      <c r="A32" s="32">
        <v>22</v>
      </c>
      <c r="B32" s="33" t="s">
        <v>105</v>
      </c>
      <c r="C32" s="34" t="str">
        <f>'[1]Packing List '!B31</f>
        <v>液压传动阀</v>
      </c>
      <c r="D32" s="34" t="str">
        <f>'[1]Packing List '!C31</f>
        <v>JMH220058-0346</v>
      </c>
      <c r="E32" s="34" t="str">
        <f>'[1]Packing List '!D31</f>
        <v>无型号</v>
      </c>
      <c r="F32" s="35" t="s">
        <v>106</v>
      </c>
      <c r="G32" s="35" t="str">
        <f>[1]合同!G37&amp;"/"&amp;[1]合同!H37&amp;"/"&amp;"USD"</f>
        <v>12.82/128.2/USD</v>
      </c>
      <c r="H32" s="36" t="s">
        <v>53</v>
      </c>
      <c r="I32" s="36" t="s">
        <v>24</v>
      </c>
      <c r="J32" s="35"/>
      <c r="K32" s="37" t="s">
        <v>107</v>
      </c>
      <c r="L32" s="37"/>
      <c r="M32" s="38" t="s">
        <v>55</v>
      </c>
    </row>
    <row r="33" ht="37.8" spans="1:13">
      <c r="A33" s="32">
        <v>23</v>
      </c>
      <c r="B33" s="33" t="s">
        <v>108</v>
      </c>
      <c r="C33" s="34" t="str">
        <f>'[1]Packing List '!B32</f>
        <v>变速箱摩擦片包</v>
      </c>
      <c r="D33" s="34" t="str">
        <f>'[1]Packing List '!C32</f>
        <v>250003-0695</v>
      </c>
      <c r="E33" s="34" t="str">
        <f>'[1]Packing List '!D32</f>
        <v>无型号</v>
      </c>
      <c r="F33" s="35" t="s">
        <v>109</v>
      </c>
      <c r="G33" s="35" t="str">
        <f>[1]合同!G38&amp;"/"&amp;[1]合同!H38&amp;"/"&amp;"USD"</f>
        <v>94.04/282.12/USD</v>
      </c>
      <c r="H33" s="36" t="s">
        <v>53</v>
      </c>
      <c r="I33" s="36" t="s">
        <v>24</v>
      </c>
      <c r="J33" s="35"/>
      <c r="K33" s="37" t="s">
        <v>58</v>
      </c>
      <c r="L33" s="37"/>
      <c r="M33" s="38" t="s">
        <v>55</v>
      </c>
    </row>
    <row r="34" ht="60" spans="1:13">
      <c r="A34" s="32">
        <v>24</v>
      </c>
      <c r="B34" s="33" t="s">
        <v>110</v>
      </c>
      <c r="C34" s="34" t="str">
        <f>'[1]Packing List '!B33</f>
        <v>油水分离器</v>
      </c>
      <c r="D34" s="34" t="str">
        <f>'[1]Packing List '!C33</f>
        <v>JMH10198-0581</v>
      </c>
      <c r="E34" s="34" t="str">
        <f>'[1]Packing List '!D33</f>
        <v>无型号</v>
      </c>
      <c r="F34" s="35" t="s">
        <v>111</v>
      </c>
      <c r="G34" s="35" t="str">
        <f>[1]合同!G39&amp;"/"&amp;[1]合同!H39&amp;"/"&amp;"USD"</f>
        <v>8.41/84.1/USD</v>
      </c>
      <c r="H34" s="36" t="s">
        <v>53</v>
      </c>
      <c r="I34" s="36" t="s">
        <v>24</v>
      </c>
      <c r="J34" s="35"/>
      <c r="K34" s="37" t="s">
        <v>64</v>
      </c>
      <c r="L34" s="37"/>
      <c r="M34" s="38" t="s">
        <v>55</v>
      </c>
    </row>
    <row r="35" ht="49.8" spans="1:13">
      <c r="A35" s="32">
        <v>25</v>
      </c>
      <c r="B35" s="33" t="s">
        <v>112</v>
      </c>
      <c r="C35" s="34" t="str">
        <f>'[1]Packing List '!B34</f>
        <v>滤清器总成</v>
      </c>
      <c r="D35" s="34" t="str">
        <f>'[1]Packing List '!C34</f>
        <v>JMH90105-0335</v>
      </c>
      <c r="E35" s="34" t="str">
        <f>'[1]Packing List '!D34</f>
        <v>无型号</v>
      </c>
      <c r="F35" s="35" t="s">
        <v>113</v>
      </c>
      <c r="G35" s="35" t="str">
        <f>[1]合同!G40&amp;"/"&amp;[1]合同!H40&amp;"/"&amp;"USD"</f>
        <v>18.81/75.24/USD</v>
      </c>
      <c r="H35" s="36" t="s">
        <v>53</v>
      </c>
      <c r="I35" s="36" t="s">
        <v>24</v>
      </c>
      <c r="J35" s="35"/>
      <c r="K35" s="37" t="s">
        <v>114</v>
      </c>
      <c r="L35" s="37"/>
      <c r="M35" s="38" t="s">
        <v>55</v>
      </c>
    </row>
    <row r="36" spans="1:13">
      <c r="A36" s="40" t="s">
        <v>115</v>
      </c>
      <c r="B36" s="29" t="s">
        <v>116</v>
      </c>
      <c r="C36" s="41" t="s">
        <v>117</v>
      </c>
      <c r="D36" s="41"/>
      <c r="E36" s="26" t="s">
        <v>118</v>
      </c>
      <c r="F36" s="26"/>
      <c r="G36" s="31"/>
      <c r="H36" s="42" t="s">
        <v>119</v>
      </c>
      <c r="I36" s="43"/>
      <c r="J36" s="43"/>
      <c r="K36" s="43"/>
      <c r="L36" s="43"/>
      <c r="M36" s="44"/>
    </row>
    <row r="37" spans="1:13">
      <c r="A37" s="45"/>
      <c r="B37" s="41"/>
      <c r="C37" s="41"/>
      <c r="D37" s="41"/>
      <c r="E37" s="41"/>
      <c r="F37" s="41"/>
      <c r="G37" s="46"/>
      <c r="H37" s="42"/>
      <c r="I37" s="43"/>
      <c r="J37" s="43"/>
      <c r="K37" s="43"/>
      <c r="L37" s="43"/>
      <c r="M37" s="44"/>
    </row>
    <row r="38" spans="1:13">
      <c r="A38" s="47" t="s">
        <v>120</v>
      </c>
      <c r="B38" s="48" t="s">
        <v>121</v>
      </c>
      <c r="C38" s="49"/>
      <c r="D38" s="49"/>
      <c r="E38" s="49"/>
      <c r="F38" s="23" t="s">
        <v>122</v>
      </c>
      <c r="G38" s="24"/>
      <c r="H38" s="50"/>
      <c r="I38" s="51"/>
      <c r="J38" s="51"/>
      <c r="K38" s="51"/>
      <c r="L38" s="51"/>
      <c r="M38" s="52"/>
    </row>
  </sheetData>
  <mergeCells count="70">
    <mergeCell ref="B1:L1"/>
    <mergeCell ref="D2:E2"/>
    <mergeCell ref="D3:E3"/>
    <mergeCell ref="I3:J3"/>
    <mergeCell ref="L3:M3"/>
    <mergeCell ref="D4:E4"/>
    <mergeCell ref="I4:M4"/>
    <mergeCell ref="D5:E5"/>
    <mergeCell ref="I5:M5"/>
    <mergeCell ref="D6:E6"/>
    <mergeCell ref="I6:J6"/>
    <mergeCell ref="L6:M6"/>
    <mergeCell ref="D7:E7"/>
    <mergeCell ref="B8:M8"/>
    <mergeCell ref="B9:M9"/>
    <mergeCell ref="I10:J10"/>
    <mergeCell ref="K10:L10"/>
    <mergeCell ref="I11:J11"/>
    <mergeCell ref="K11:L11"/>
    <mergeCell ref="I12:J12"/>
    <mergeCell ref="K12:L12"/>
    <mergeCell ref="I13:J13"/>
    <mergeCell ref="K13:L13"/>
    <mergeCell ref="I14:J14"/>
    <mergeCell ref="K14:L14"/>
    <mergeCell ref="I15:J15"/>
    <mergeCell ref="K15:L15"/>
    <mergeCell ref="I16:J16"/>
    <mergeCell ref="K16:L16"/>
    <mergeCell ref="I17:J17"/>
    <mergeCell ref="K17:L17"/>
    <mergeCell ref="I18:J18"/>
    <mergeCell ref="K18:L18"/>
    <mergeCell ref="I19:J19"/>
    <mergeCell ref="K19:L19"/>
    <mergeCell ref="I20:J20"/>
    <mergeCell ref="K20:L20"/>
    <mergeCell ref="I21:J21"/>
    <mergeCell ref="K21:L21"/>
    <mergeCell ref="I22:J22"/>
    <mergeCell ref="K22:L22"/>
    <mergeCell ref="I23:J23"/>
    <mergeCell ref="K23:L23"/>
    <mergeCell ref="I24:J24"/>
    <mergeCell ref="K24:L24"/>
    <mergeCell ref="I25:J25"/>
    <mergeCell ref="K25:L25"/>
    <mergeCell ref="I26:J26"/>
    <mergeCell ref="K26:L26"/>
    <mergeCell ref="I27:J27"/>
    <mergeCell ref="K27:L27"/>
    <mergeCell ref="I28:J28"/>
    <mergeCell ref="K28:L28"/>
    <mergeCell ref="I29:J29"/>
    <mergeCell ref="K29:L29"/>
    <mergeCell ref="I30:J30"/>
    <mergeCell ref="K30:L30"/>
    <mergeCell ref="I31:J31"/>
    <mergeCell ref="K31:L31"/>
    <mergeCell ref="I32:J32"/>
    <mergeCell ref="K32:L32"/>
    <mergeCell ref="I33:J33"/>
    <mergeCell ref="K33:L33"/>
    <mergeCell ref="I34:J34"/>
    <mergeCell ref="K34:L34"/>
    <mergeCell ref="I35:J35"/>
    <mergeCell ref="K35:L35"/>
    <mergeCell ref="E36:G36"/>
    <mergeCell ref="F38:G38"/>
    <mergeCell ref="H36:M38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王钰涵</cp:lastModifiedBy>
  <dcterms:created xsi:type="dcterms:W3CDTF">2023-05-12T11:15:00Z</dcterms:created>
  <dcterms:modified xsi:type="dcterms:W3CDTF">2026-06-08T09:29:11Z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E8A3AE3EDFC74C389EE11C79A6C5E944_12</vt:lpwstr>
  </property>
  <property fmtid="{D5CDD505-2E9C-101B-9397-08002B2CF9AE}" pid="4" name="CalculationRule">
    <vt:i4>0</vt:i4>
  </property>
</Properties>
</file>