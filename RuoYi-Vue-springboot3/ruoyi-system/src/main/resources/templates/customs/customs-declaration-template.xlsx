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0295"/>
  </bookViews>
  <sheets>
    <sheet name="合同" sheetId="7" r:id="rId1"/>
    <sheet name="INVOICE" sheetId="9" r:id="rId2"/>
    <sheet name="Packing List " sheetId="10" r:id="rId3"/>
    <sheet name="报关单" sheetId="12" r:id="rId4"/>
  </sheets>
  <definedNames>
    <definedName name="_xlnm.Print_Area" localSheetId="3">报关单!$A$1:$M$14</definedName>
    <definedName name="_xlnm.Print_Titles" localSheetId="0">合同!$15:$15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<sst xmlns="http://schemas.openxmlformats.org/spreadsheetml/2006/main" count="132" uniqueCount="108">
  <si>
    <t>成都玖马赫供应链管理有限公司</t>
  </si>
  <si>
    <t>CHENGDU JUMACH SUPPLY CHAIN MANAGEMENT CO.,LTD</t>
  </si>
  <si>
    <r>
      <rPr>
        <b/>
        <sz val="22"/>
        <rFont val="宋体"/>
        <charset val="134"/>
      </rPr>
      <t>合</t>
    </r>
    <r>
      <rPr>
        <b/>
        <sz val="22"/>
        <rFont val="Times New Roman"/>
        <charset val="134"/>
      </rPr>
      <t xml:space="preserve">  </t>
    </r>
    <r>
      <rPr>
        <b/>
        <sz val="22"/>
        <rFont val="宋体"/>
        <charset val="134"/>
      </rPr>
      <t>同</t>
    </r>
  </si>
  <si>
    <t>CONTRACT</t>
  </si>
  <si>
    <t>SELLER</t>
  </si>
  <si>
    <t>PO NUMBER</t>
  </si>
  <si>
    <t>RVG10645-260529-0004</t>
  </si>
  <si>
    <t>CHENGDU JUMACH SUPPLY CHAIN MANAGEMENT CO.,LTD                  1st Floor, Building 12, No. 3 Tianhe Road, Chengdu High-tech Zone,Sichuan,China
TEL:(0086)19282017790</t>
  </si>
  <si>
    <t>PO DATE</t>
  </si>
  <si>
    <t>SHIP TO</t>
  </si>
  <si>
    <t xml:space="preserve"> </t>
  </si>
  <si>
    <t>PRICE TERM</t>
  </si>
  <si>
    <t>TRANSPORT</t>
  </si>
  <si>
    <t>VIA  SEA</t>
  </si>
  <si>
    <t>DELIVERY</t>
  </si>
  <si>
    <t>SEE BELOW REMARK</t>
  </si>
  <si>
    <t>TOTAL AMOUNT</t>
  </si>
  <si>
    <t>BUYER</t>
  </si>
  <si>
    <t>PAYMENT TERM</t>
  </si>
  <si>
    <t>TT</t>
  </si>
  <si>
    <r>
      <rPr>
        <sz val="10"/>
        <rFont val="Courier New"/>
        <charset val="134"/>
      </rPr>
      <t>Hong Kong Cammy Yeson Limited
C/O 1175 Florence Columbus Road UNITB</t>
    </r>
    <r>
      <rPr>
        <sz val="10"/>
        <rFont val="宋体"/>
        <charset val="134"/>
      </rPr>
      <t>（</t>
    </r>
    <r>
      <rPr>
        <sz val="10"/>
        <rFont val="Courier New"/>
        <charset val="134"/>
      </rPr>
      <t>A12-A35</t>
    </r>
    <r>
      <rPr>
        <sz val="10"/>
        <rFont val="宋体"/>
        <charset val="134"/>
      </rPr>
      <t>）</t>
    </r>
    <r>
      <rPr>
        <sz val="10"/>
        <rFont val="Courier New"/>
        <charset val="134"/>
      </rPr>
      <t>Bordentown New Jersey 08505</t>
    </r>
  </si>
  <si>
    <t>LINE</t>
  </si>
  <si>
    <t>DESCRIPTION</t>
  </si>
  <si>
    <t>SKU</t>
  </si>
  <si>
    <t>Model</t>
  </si>
  <si>
    <t>UNIT</t>
  </si>
  <si>
    <t>QUANTITY</t>
  </si>
  <si>
    <t>UNIT PRICE</t>
  </si>
  <si>
    <t>REMARK</t>
  </si>
  <si>
    <t>WE CONFIRM TO ACCEPT THIS PO AS THE ABOVE TERMS</t>
  </si>
  <si>
    <r>
      <rPr>
        <sz val="12"/>
        <rFont val="宋体"/>
        <charset val="134"/>
      </rPr>
      <t xml:space="preserve">                   </t>
    </r>
    <r>
      <rPr>
        <b/>
        <u val="double"/>
        <sz val="11"/>
        <rFont val="Courier New"/>
        <charset val="134"/>
      </rPr>
      <t>SELLER</t>
    </r>
  </si>
  <si>
    <r>
      <rPr>
        <b/>
        <i/>
        <sz val="11"/>
        <rFont val="Times New Roman"/>
        <charset val="134"/>
      </rPr>
      <t xml:space="preserve">             </t>
    </r>
    <r>
      <rPr>
        <b/>
        <i/>
        <u/>
        <sz val="11"/>
        <rFont val="Times New Roman"/>
        <charset val="134"/>
      </rPr>
      <t>Signature for and on behalf of the Seller</t>
    </r>
  </si>
  <si>
    <t>Signature for and on behalf of the Buyer</t>
  </si>
  <si>
    <t>1st Floor, Building 12, No. 3 Tianhe Road, Chengdu High-tech ZoneSichuan,China</t>
  </si>
  <si>
    <t>商 业 发 票</t>
  </si>
  <si>
    <t>COMMERCIAL INVOICE</t>
  </si>
  <si>
    <r>
      <rPr>
        <b/>
        <sz val="10"/>
        <rFont val="Arial"/>
        <charset val="134"/>
      </rPr>
      <t>TO</t>
    </r>
    <r>
      <rPr>
        <b/>
        <sz val="10"/>
        <rFont val="宋体"/>
        <charset val="134"/>
      </rPr>
      <t>：</t>
    </r>
    <r>
      <rPr>
        <b/>
        <sz val="9"/>
        <rFont val="Arial"/>
        <charset val="134"/>
      </rPr>
      <t>Hong Kong Cammy Yeson Limited</t>
    </r>
  </si>
  <si>
    <r>
      <rPr>
        <b/>
        <sz val="10"/>
        <rFont val="Arial"/>
        <charset val="134"/>
      </rPr>
      <t>C/O 1175 Florence Columbus Road UNITB</t>
    </r>
    <r>
      <rPr>
        <b/>
        <sz val="10"/>
        <rFont val="宋体"/>
        <charset val="134"/>
      </rPr>
      <t>（</t>
    </r>
    <r>
      <rPr>
        <b/>
        <sz val="10"/>
        <rFont val="Arial"/>
        <charset val="134"/>
      </rPr>
      <t>A12-A35</t>
    </r>
    <r>
      <rPr>
        <b/>
        <sz val="10"/>
        <rFont val="宋体"/>
        <charset val="134"/>
      </rPr>
      <t>）</t>
    </r>
    <r>
      <rPr>
        <b/>
        <sz val="10"/>
        <rFont val="Arial"/>
        <charset val="134"/>
      </rPr>
      <t>Bordentown New Jersey 08505</t>
    </r>
  </si>
  <si>
    <t>INV. NO:</t>
  </si>
  <si>
    <t>INV10645-260529-0004</t>
  </si>
  <si>
    <t>DATE:</t>
  </si>
  <si>
    <t xml:space="preserve">DESCRIPTION </t>
  </si>
  <si>
    <t>装箱单</t>
  </si>
  <si>
    <t>PACKING LIST</t>
  </si>
  <si>
    <t>Marks &amp; Nos</t>
  </si>
  <si>
    <t>Description of Goods</t>
  </si>
  <si>
    <t>Quantity/Unit</t>
  </si>
  <si>
    <t>N.W.(KG)</t>
  </si>
  <si>
    <t>G.W.(KG)</t>
  </si>
  <si>
    <t>MEAS.CBM*L*H*W</t>
  </si>
  <si>
    <r>
      <rPr>
        <sz val="18"/>
        <color theme="1"/>
        <rFont val="宋体"/>
        <charset val="134"/>
        <scheme val="minor"/>
      </rPr>
      <t xml:space="preserve">                            </t>
    </r>
    <r>
      <rPr>
        <sz val="18"/>
        <color indexed="8"/>
        <rFont val="等线"/>
        <charset val="134"/>
      </rPr>
      <t>中华人民共和国海关出口货物报关单</t>
    </r>
  </si>
  <si>
    <t>预录入编号：</t>
  </si>
  <si>
    <r>
      <rPr>
        <sz val="9"/>
        <color indexed="8"/>
        <rFont val="等线"/>
        <charset val="134"/>
      </rPr>
      <t>海关编号：</t>
    </r>
  </si>
  <si>
    <t>页码/页数：</t>
  </si>
  <si>
    <r>
      <rPr>
        <sz val="9"/>
        <color indexed="8"/>
        <rFont val="等线"/>
        <charset val="134"/>
      </rPr>
      <t>境内发货人</t>
    </r>
  </si>
  <si>
    <t>成都玖马赫供应链管理有限公司   信用代码：91510106MACMNJMB6A</t>
  </si>
  <si>
    <r>
      <rPr>
        <sz val="9"/>
        <color indexed="8"/>
        <rFont val="等线"/>
        <charset val="134"/>
      </rPr>
      <t>出境关别</t>
    </r>
  </si>
  <si>
    <r>
      <rPr>
        <sz val="9"/>
        <color indexed="8"/>
        <rFont val="等线"/>
        <charset val="134"/>
      </rPr>
      <t>出口日期</t>
    </r>
  </si>
  <si>
    <r>
      <rPr>
        <sz val="9"/>
        <color indexed="8"/>
        <rFont val="等线"/>
        <charset val="134"/>
      </rPr>
      <t>申报日期</t>
    </r>
  </si>
  <si>
    <r>
      <rPr>
        <sz val="9"/>
        <color indexed="8"/>
        <rFont val="等线"/>
        <charset val="134"/>
      </rPr>
      <t>备案号</t>
    </r>
  </si>
  <si>
    <t>境外收货人</t>
  </si>
  <si>
    <t>Hong Kong Cammy Yeson Limited</t>
  </si>
  <si>
    <r>
      <rPr>
        <sz val="9"/>
        <color indexed="8"/>
        <rFont val="等线"/>
        <charset val="134"/>
      </rPr>
      <t>运输方式</t>
    </r>
  </si>
  <si>
    <r>
      <rPr>
        <sz val="9"/>
        <color indexed="8"/>
        <rFont val="等线"/>
        <charset val="134"/>
      </rPr>
      <t>运输工具名称及航次号</t>
    </r>
  </si>
  <si>
    <r>
      <rPr>
        <sz val="9"/>
        <color indexed="8"/>
        <rFont val="等线"/>
        <charset val="134"/>
      </rPr>
      <t>提运单号</t>
    </r>
  </si>
  <si>
    <r>
      <rPr>
        <sz val="9"/>
        <color indexed="8"/>
        <rFont val="等线"/>
        <charset val="134"/>
      </rPr>
      <t>生产销售单位</t>
    </r>
  </si>
  <si>
    <r>
      <rPr>
        <sz val="9"/>
        <color indexed="8"/>
        <rFont val="等线"/>
        <charset val="134"/>
      </rPr>
      <t>监管方式</t>
    </r>
  </si>
  <si>
    <t>一般贸易</t>
  </si>
  <si>
    <r>
      <rPr>
        <sz val="9"/>
        <color indexed="8"/>
        <rFont val="等线"/>
        <charset val="134"/>
      </rPr>
      <t>征免性质</t>
    </r>
  </si>
  <si>
    <t>一般征税</t>
  </si>
  <si>
    <r>
      <rPr>
        <sz val="9"/>
        <color indexed="8"/>
        <rFont val="等线"/>
        <charset val="134"/>
      </rPr>
      <t>许可证号</t>
    </r>
  </si>
  <si>
    <r>
      <rPr>
        <sz val="9"/>
        <color indexed="8"/>
        <rFont val="等线"/>
        <charset val="134"/>
      </rPr>
      <t>合同协议号</t>
    </r>
  </si>
  <si>
    <t>贸易国（地区）</t>
  </si>
  <si>
    <t>美国</t>
  </si>
  <si>
    <t>运抵国（地区）</t>
  </si>
  <si>
    <t>指运港</t>
  </si>
  <si>
    <r>
      <rPr>
        <sz val="9"/>
        <color indexed="8"/>
        <rFont val="等线"/>
        <charset val="134"/>
      </rPr>
      <t>离境口岸</t>
    </r>
  </si>
  <si>
    <r>
      <rPr>
        <sz val="9"/>
        <color indexed="8"/>
        <rFont val="等线"/>
        <charset val="134"/>
      </rPr>
      <t>包装种类</t>
    </r>
  </si>
  <si>
    <t>纸箱</t>
  </si>
  <si>
    <t>件数  51</t>
  </si>
  <si>
    <t>毛重（千克）657.1</t>
  </si>
  <si>
    <t>净重  （千克）631.6</t>
  </si>
  <si>
    <t>成交方式   FOB</t>
  </si>
  <si>
    <r>
      <rPr>
        <sz val="9"/>
        <color indexed="8"/>
        <rFont val="等线"/>
        <charset val="134"/>
      </rPr>
      <t>运费</t>
    </r>
  </si>
  <si>
    <r>
      <rPr>
        <sz val="9"/>
        <color indexed="8"/>
        <rFont val="等线"/>
        <charset val="134"/>
      </rPr>
      <t>保费</t>
    </r>
  </si>
  <si>
    <r>
      <rPr>
        <sz val="9"/>
        <color indexed="8"/>
        <rFont val="等线"/>
        <charset val="134"/>
      </rPr>
      <t>杂费</t>
    </r>
  </si>
  <si>
    <r>
      <rPr>
        <sz val="9"/>
        <color indexed="8"/>
        <rFont val="等线"/>
        <charset val="134"/>
      </rPr>
      <t>随附单证及编号</t>
    </r>
  </si>
  <si>
    <t>境外收货人完整显示：Hong Kong Cammy Yeson Limited</t>
  </si>
  <si>
    <t>标记唛码及备注</t>
  </si>
  <si>
    <r>
      <rPr>
        <sz val="9"/>
        <color indexed="8"/>
        <rFont val="等线"/>
        <charset val="134"/>
      </rPr>
      <t>项号</t>
    </r>
  </si>
  <si>
    <t xml:space="preserve">   商品编码</t>
  </si>
  <si>
    <t>商品名称</t>
  </si>
  <si>
    <t>SKU（这个必须填写在申报要素备注栏）</t>
  </si>
  <si>
    <t>规格型号</t>
  </si>
  <si>
    <r>
      <rPr>
        <sz val="9"/>
        <color indexed="8"/>
        <rFont val="等线"/>
        <charset val="134"/>
      </rPr>
      <t>数量及单位</t>
    </r>
  </si>
  <si>
    <r>
      <rPr>
        <sz val="9"/>
        <color indexed="8"/>
        <rFont val="等线"/>
        <charset val="134"/>
      </rPr>
      <t>单价</t>
    </r>
    <r>
      <rPr>
        <sz val="9"/>
        <color indexed="8"/>
        <rFont val="等线"/>
        <charset val="134"/>
      </rPr>
      <t>/</t>
    </r>
    <r>
      <rPr>
        <sz val="9"/>
        <color indexed="8"/>
        <rFont val="等线"/>
        <charset val="134"/>
      </rPr>
      <t>总价</t>
    </r>
    <r>
      <rPr>
        <sz val="9"/>
        <color indexed="8"/>
        <rFont val="等线"/>
        <charset val="134"/>
      </rPr>
      <t>/</t>
    </r>
    <r>
      <rPr>
        <sz val="9"/>
        <color indexed="8"/>
        <rFont val="等线"/>
        <charset val="134"/>
      </rPr>
      <t>币制</t>
    </r>
  </si>
  <si>
    <t>原产国（地区）</t>
  </si>
  <si>
    <t>最终目的国（地区）</t>
  </si>
  <si>
    <r>
      <rPr>
        <sz val="9"/>
        <color indexed="8"/>
        <rFont val="等线"/>
        <charset val="134"/>
      </rPr>
      <t>境内货源地</t>
    </r>
  </si>
  <si>
    <r>
      <rPr>
        <sz val="9"/>
        <color indexed="8"/>
        <rFont val="等线"/>
        <charset val="134"/>
      </rPr>
      <t>征免</t>
    </r>
  </si>
  <si>
    <t>报关人员</t>
  </si>
  <si>
    <t>报关人员证号</t>
  </si>
  <si>
    <r>
      <rPr>
        <sz val="9"/>
        <color indexed="8"/>
        <rFont val="等线"/>
        <charset val="134"/>
      </rPr>
      <t>电话</t>
    </r>
  </si>
  <si>
    <t>兹申明对以上内容承担如实申报、依法纳税之法律责任</t>
  </si>
  <si>
    <t>海关批注及签章</t>
  </si>
  <si>
    <r>
      <rPr>
        <sz val="9"/>
        <color indexed="8"/>
        <rFont val="等线"/>
        <charset val="134"/>
      </rPr>
      <t>申报单位</t>
    </r>
  </si>
  <si>
    <t xml:space="preserve">成都玖马赫供应链管理有限公司  </t>
  </si>
  <si>
    <t xml:space="preserve">                    申报单位（签章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</si>
</sst>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809]d\ mmmm\ yyyy;@"/>
    <numFmt numFmtId="177" formatCode="\$#,##0.00;\-\$#,##0.00"/>
    <numFmt numFmtId="178" formatCode="[$-409]mmmm\ d\,\ yyyy;@"/>
    <numFmt numFmtId="179" formatCode="&quot;US$&quot;#,##0.00_);[Red]\(&quot;US$&quot;#,##0.00\)"/>
  </numFmts>
  <fonts count="61">
    <font>
      <sz val="12"/>
      <name val="宋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9"/>
      <color rgb="FF000000"/>
      <name val="等线"/>
      <charset val="134"/>
    </font>
    <font>
      <b/>
      <sz val="9"/>
      <color rgb="FF000000"/>
      <name val="宋体"/>
      <charset val="134"/>
    </font>
    <font>
      <b/>
      <sz val="9"/>
      <color theme="1"/>
      <name val="宋体"/>
      <charset val="134"/>
      <scheme val="minor"/>
    </font>
    <font>
      <sz val="9"/>
      <color indexed="8"/>
      <name val="等线"/>
      <charset val="134"/>
    </font>
    <font>
      <sz val="10"/>
      <name val="돋움"/>
      <charset val="134"/>
    </font>
    <font>
      <sz val="11"/>
      <name val="Arial"/>
      <charset val="134"/>
    </font>
    <font>
      <sz val="11"/>
      <name val="돋움"/>
      <charset val="134"/>
    </font>
    <font>
      <b/>
      <sz val="16"/>
      <name val="Arial"/>
      <charset val="134"/>
    </font>
    <font>
      <b/>
      <sz val="11"/>
      <name val="宋体"/>
      <charset val="134"/>
    </font>
    <font>
      <b/>
      <sz val="16"/>
      <name val="宋体"/>
      <charset val="134"/>
    </font>
    <font>
      <sz val="14"/>
      <name val="Arial"/>
      <charset val="134"/>
    </font>
    <font>
      <sz val="12"/>
      <name val="Arial"/>
      <charset val="134"/>
    </font>
    <font>
      <b/>
      <sz val="12"/>
      <name val="Courier New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14"/>
      <name val="Arial"/>
      <charset val="134"/>
    </font>
    <font>
      <sz val="12"/>
      <name val="Times New Roman"/>
      <charset val="134"/>
    </font>
    <font>
      <sz val="11"/>
      <name val="Times New Roman"/>
      <charset val="134"/>
    </font>
    <font>
      <sz val="10"/>
      <name val="Times New Roman"/>
      <charset val="134"/>
    </font>
    <font>
      <sz val="12"/>
      <name val="Courier New"/>
      <charset val="134"/>
    </font>
    <font>
      <b/>
      <sz val="18"/>
      <name val="宋体"/>
      <charset val="134"/>
    </font>
    <font>
      <b/>
      <sz val="18"/>
      <name val="Courier New"/>
      <charset val="134"/>
    </font>
    <font>
      <b/>
      <sz val="22"/>
      <name val="宋体"/>
      <charset val="134"/>
    </font>
    <font>
      <b/>
      <u/>
      <sz val="11"/>
      <name val="Courier New"/>
      <charset val="134"/>
    </font>
    <font>
      <sz val="10"/>
      <name val="Courier New"/>
      <charset val="134"/>
    </font>
    <font>
      <sz val="9"/>
      <color rgb="FF333333"/>
      <name val="微软雅黑"/>
      <charset val="134"/>
    </font>
    <font>
      <u/>
      <sz val="12"/>
      <name val="Times New Roman"/>
      <charset val="134"/>
    </font>
    <font>
      <b/>
      <u val="double"/>
      <sz val="11"/>
      <name val="Courier New"/>
      <charset val="134"/>
    </font>
    <font>
      <b/>
      <sz val="11"/>
      <name val="Courier New"/>
      <charset val="134"/>
    </font>
    <font>
      <b/>
      <sz val="11"/>
      <name val="Arial"/>
      <charset val="134"/>
    </font>
    <font>
      <b/>
      <i/>
      <u/>
      <sz val="11"/>
      <name val="Times New Roman"/>
      <charset val="134"/>
    </font>
    <font>
      <b/>
      <i/>
      <sz val="11"/>
      <name val="Times New Roman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  <font>
      <b/>
      <sz val="9"/>
      <name val="Arial"/>
      <charset val="134"/>
    </font>
    <font>
      <sz val="18"/>
      <color indexed="8"/>
      <name val="等线"/>
      <charset val="134"/>
    </font>
    <font>
      <b/>
      <sz val="22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4" borderId="13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4" applyNumberFormat="0" applyFill="0" applyAlignment="0" applyProtection="0">
      <alignment vertical="center"/>
    </xf>
    <xf numFmtId="0" fontId="45" fillId="0" borderId="1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5" borderId="16" applyNumberFormat="0" applyAlignment="0" applyProtection="0">
      <alignment vertical="center"/>
    </xf>
    <xf numFmtId="0" fontId="47" fillId="6" borderId="17" applyNumberFormat="0" applyAlignment="0" applyProtection="0">
      <alignment vertical="center"/>
    </xf>
    <xf numFmtId="0" fontId="48" fillId="6" borderId="16" applyNumberFormat="0" applyAlignment="0" applyProtection="0">
      <alignment vertical="center"/>
    </xf>
    <xf numFmtId="0" fontId="49" fillId="7" borderId="18" applyNumberFormat="0" applyAlignment="0" applyProtection="0">
      <alignment vertical="center"/>
    </xf>
    <xf numFmtId="0" fontId="50" fillId="0" borderId="19" applyNumberFormat="0" applyFill="0" applyAlignment="0" applyProtection="0">
      <alignment vertical="center"/>
    </xf>
    <xf numFmtId="0" fontId="51" fillId="0" borderId="20" applyNumberFormat="0" applyFill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</cellStyleXfs>
  <cellXfs count="1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justify" vertical="center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center" vertical="center" wrapText="1" shrinkToFit="1"/>
    </xf>
    <xf numFmtId="0" fontId="17" fillId="3" borderId="4" xfId="0" applyFont="1" applyFill="1" applyBorder="1" applyAlignment="1">
      <alignment horizontal="right" vertical="center" wrapText="1" shrinkToFit="1"/>
    </xf>
    <xf numFmtId="0" fontId="17" fillId="3" borderId="1" xfId="0" applyFont="1" applyFill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20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locked="0"/>
    </xf>
    <xf numFmtId="0" fontId="22" fillId="0" borderId="0" xfId="0" applyFont="1" applyAlignment="1" applyProtection="1">
      <alignment horizontal="center" vertical="top" shrinkToFit="1"/>
      <protection locked="0"/>
    </xf>
    <xf numFmtId="0" fontId="23" fillId="0" borderId="0" xfId="0" applyFont="1" applyAlignment="1" applyProtection="1">
      <alignment horizontal="center" vertical="center" shrinkToFit="1"/>
      <protection locked="0"/>
    </xf>
    <xf numFmtId="0" fontId="24" fillId="0" borderId="0" xfId="0" applyFont="1" applyAlignment="1" applyProtection="1">
      <alignment horizontal="left"/>
      <protection locked="0"/>
    </xf>
    <xf numFmtId="0" fontId="10" fillId="0" borderId="0" xfId="0" applyFont="1" applyAlignment="1" applyProtection="1">
      <alignment horizontal="left"/>
      <protection locked="0"/>
    </xf>
    <xf numFmtId="0" fontId="16" fillId="0" borderId="0" xfId="0" applyFont="1" applyAlignment="1" applyProtection="1">
      <alignment horizontal="left"/>
      <protection locked="0"/>
    </xf>
    <xf numFmtId="38" fontId="16" fillId="0" borderId="0" xfId="0" applyNumberFormat="1" applyFont="1" applyAlignment="1" applyProtection="1">
      <alignment horizontal="center"/>
      <protection locked="0"/>
    </xf>
    <xf numFmtId="177" fontId="16" fillId="0" borderId="0" xfId="0" applyNumberFormat="1" applyFont="1" applyAlignment="1" applyProtection="1">
      <alignment horizontal="left"/>
      <protection locked="0"/>
    </xf>
    <xf numFmtId="0" fontId="25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0" xfId="0" applyFont="1" applyFill="1" applyAlignment="1" applyProtection="1">
      <alignment horizontal="center" vertical="center" wrapText="1"/>
      <protection locked="0"/>
    </xf>
    <xf numFmtId="0" fontId="26" fillId="3" borderId="0" xfId="0" applyFont="1" applyFill="1" applyAlignment="1" applyProtection="1">
      <alignment horizontal="center" vertical="top" wrapText="1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28" fillId="3" borderId="9" xfId="0" applyFont="1" applyFill="1" applyBorder="1" applyAlignment="1" applyProtection="1">
      <alignment vertical="top" wrapText="1"/>
      <protection locked="0"/>
    </xf>
    <xf numFmtId="0" fontId="29" fillId="3" borderId="10" xfId="0" applyFont="1" applyFill="1" applyBorder="1" applyAlignment="1" applyProtection="1">
      <alignment vertical="top" wrapText="1"/>
      <protection locked="0"/>
    </xf>
    <xf numFmtId="0" fontId="29" fillId="3" borderId="11" xfId="0" applyFont="1" applyFill="1" applyBorder="1" applyAlignment="1" applyProtection="1">
      <alignment vertical="top" wrapText="1"/>
      <protection locked="0"/>
    </xf>
    <xf numFmtId="0" fontId="29" fillId="0" borderId="0" xfId="0" applyFont="1" applyAlignment="1" applyProtection="1">
      <alignment horizontal="left" vertical="top" wrapText="1"/>
      <protection locked="0"/>
    </xf>
    <xf numFmtId="0" fontId="28" fillId="3" borderId="9" xfId="0" applyFont="1" applyFill="1" applyBorder="1" applyAlignment="1" applyProtection="1">
      <alignment horizontal="left" vertical="center"/>
      <protection locked="0"/>
    </xf>
    <xf numFmtId="0" fontId="30" fillId="0" borderId="10" xfId="0" applyFont="1" applyBorder="1" applyAlignment="1" applyProtection="1">
      <alignment horizontal="left" wrapText="1"/>
      <protection locked="0"/>
    </xf>
    <xf numFmtId="177" fontId="20" fillId="0" borderId="11" xfId="0" applyNumberFormat="1" applyFont="1" applyBorder="1" applyAlignment="1" applyProtection="1">
      <alignment horizontal="left"/>
      <protection locked="0"/>
    </xf>
    <xf numFmtId="0" fontId="29" fillId="0" borderId="8" xfId="0" applyFont="1" applyBorder="1" applyAlignment="1" applyProtection="1">
      <alignment horizontal="left" vertical="top" wrapText="1"/>
      <protection locked="0"/>
    </xf>
    <xf numFmtId="0" fontId="29" fillId="0" borderId="12" xfId="0" applyFont="1" applyBorder="1" applyAlignment="1" applyProtection="1">
      <alignment horizontal="left" vertical="top" wrapText="1"/>
      <protection locked="0"/>
    </xf>
    <xf numFmtId="0" fontId="28" fillId="3" borderId="8" xfId="0" applyFont="1" applyFill="1" applyBorder="1" applyAlignment="1" applyProtection="1">
      <alignment horizontal="left" vertical="center"/>
      <protection locked="0"/>
    </xf>
    <xf numFmtId="178" fontId="29" fillId="0" borderId="0" xfId="0" applyNumberFormat="1" applyFont="1" applyAlignment="1" applyProtection="1">
      <alignment horizontal="left" vertical="center"/>
      <protection locked="0"/>
    </xf>
    <xf numFmtId="177" fontId="21" fillId="0" borderId="12" xfId="0" applyNumberFormat="1" applyFont="1" applyBorder="1" applyAlignment="1" applyProtection="1">
      <alignment horizontal="left"/>
      <protection locked="0"/>
    </xf>
    <xf numFmtId="26" fontId="29" fillId="0" borderId="0" xfId="0" applyNumberFormat="1" applyFont="1" applyAlignment="1" applyProtection="1">
      <alignment horizontal="left" vertical="center"/>
      <protection locked="0"/>
    </xf>
    <xf numFmtId="0" fontId="29" fillId="0" borderId="0" xfId="0" applyFont="1" applyAlignment="1" applyProtection="1">
      <alignment horizontal="left" vertical="center"/>
      <protection locked="0"/>
    </xf>
    <xf numFmtId="26" fontId="28" fillId="3" borderId="8" xfId="0" applyNumberFormat="1" applyFont="1" applyFill="1" applyBorder="1" applyAlignment="1" applyProtection="1">
      <alignment horizontal="left" vertical="center"/>
      <protection locked="0"/>
    </xf>
    <xf numFmtId="178" fontId="29" fillId="0" borderId="0" xfId="0" applyNumberFormat="1" applyFont="1" applyAlignment="1" applyProtection="1">
      <alignment vertical="center"/>
      <protection locked="0"/>
    </xf>
    <xf numFmtId="0" fontId="29" fillId="0" borderId="5" xfId="0" applyFont="1" applyBorder="1" applyAlignment="1" applyProtection="1">
      <alignment horizontal="left" vertical="top" wrapText="1"/>
      <protection locked="0"/>
    </xf>
    <xf numFmtId="0" fontId="29" fillId="0" borderId="6" xfId="0" applyFont="1" applyBorder="1" applyAlignment="1" applyProtection="1">
      <alignment horizontal="left" vertical="top" wrapText="1"/>
      <protection locked="0"/>
    </xf>
    <xf numFmtId="0" fontId="29" fillId="0" borderId="7" xfId="0" applyFont="1" applyBorder="1" applyAlignment="1" applyProtection="1">
      <alignment horizontal="left" vertical="top" wrapText="1"/>
      <protection locked="0"/>
    </xf>
    <xf numFmtId="179" fontId="29" fillId="0" borderId="0" xfId="0" applyNumberFormat="1" applyFont="1" applyAlignment="1" applyProtection="1">
      <alignment horizontal="left" vertical="center"/>
      <protection locked="0"/>
    </xf>
    <xf numFmtId="0" fontId="31" fillId="3" borderId="8" xfId="0" applyFont="1" applyFill="1" applyBorder="1" applyAlignment="1" applyProtection="1">
      <alignment horizontal="left"/>
      <protection locked="0"/>
    </xf>
    <xf numFmtId="0" fontId="28" fillId="3" borderId="5" xfId="0" applyFont="1" applyFill="1" applyBorder="1" applyAlignment="1" applyProtection="1">
      <alignment horizontal="left" vertical="top" wrapText="1"/>
      <protection locked="0"/>
    </xf>
    <xf numFmtId="0" fontId="17" fillId="3" borderId="1" xfId="0" applyFont="1" applyFill="1" applyBorder="1" applyAlignment="1" applyProtection="1">
      <alignment horizontal="center" vertical="center" wrapText="1" shrinkToFit="1"/>
      <protection locked="0"/>
    </xf>
    <xf numFmtId="179" fontId="1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7" fillId="3" borderId="1" xfId="0" applyFont="1" applyFill="1" applyBorder="1" applyAlignment="1" applyProtection="1">
      <alignment horizontal="center" vertical="center" wrapText="1" shrinkToFit="1"/>
      <protection locked="0"/>
    </xf>
    <xf numFmtId="179" fontId="17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32" fillId="0" borderId="1" xfId="0" applyFont="1" applyBorder="1" applyAlignment="1" applyProtection="1">
      <alignment horizontal="center" vertical="top"/>
      <protection locked="0"/>
    </xf>
    <xf numFmtId="0" fontId="32" fillId="0" borderId="1" xfId="0" applyFont="1" applyBorder="1" applyAlignment="1" applyProtection="1">
      <alignment horizontal="center" vertical="top"/>
      <protection locked="0"/>
    </xf>
    <xf numFmtId="0" fontId="32" fillId="0" borderId="1" xfId="0" applyFont="1" applyBorder="1" applyAlignment="1" applyProtection="1">
      <alignment horizontal="left"/>
      <protection locked="0"/>
    </xf>
    <xf numFmtId="0" fontId="32" fillId="0" borderId="1" xfId="0" applyFont="1" applyBorder="1" applyAlignment="1" applyProtection="1">
      <alignment horizontal="center"/>
      <protection locked="0"/>
    </xf>
    <xf numFmtId="0" fontId="33" fillId="0" borderId="1" xfId="0" applyFont="1" applyBorder="1" applyAlignment="1" applyProtection="1">
      <alignment horizontal="left"/>
      <protection locked="0"/>
    </xf>
    <xf numFmtId="0" fontId="10" fillId="0" borderId="1" xfId="0" applyFont="1" applyBorder="1" applyAlignment="1" applyProtection="1">
      <alignment horizontal="left"/>
      <protection locked="0"/>
    </xf>
    <xf numFmtId="0" fontId="34" fillId="0" borderId="1" xfId="0" applyFont="1" applyBorder="1" applyProtection="1">
      <protection locked="0"/>
    </xf>
    <xf numFmtId="0" fontId="34" fillId="0" borderId="1" xfId="0" applyFont="1" applyBorder="1" applyAlignment="1" applyProtection="1">
      <alignment horizontal="center"/>
      <protection locked="0"/>
    </xf>
    <xf numFmtId="0" fontId="34" fillId="0" borderId="1" xfId="0" applyFont="1" applyBorder="1" applyAlignment="1" applyProtection="1">
      <alignment horizontal="left"/>
      <protection locked="0"/>
    </xf>
    <xf numFmtId="0" fontId="35" fillId="0" borderId="1" xfId="0" applyFont="1" applyBorder="1" applyAlignment="1" applyProtection="1">
      <alignment horizontal="left"/>
      <protection locked="0"/>
    </xf>
    <xf numFmtId="0" fontId="36" fillId="0" borderId="1" xfId="0" applyFont="1" applyBorder="1" applyAlignment="1" applyProtection="1">
      <alignment horizontal="center"/>
      <protection locked="0"/>
    </xf>
    <xf numFmtId="0" fontId="35" fillId="0" borderId="1" xfId="0" applyFont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left"/>
      <protection locked="0"/>
    </xf>
    <xf numFmtId="38" fontId="16" fillId="0" borderId="1" xfId="0" applyNumberFormat="1" applyFont="1" applyBorder="1" applyAlignment="1" applyProtection="1">
      <alignment horizontal="center"/>
      <protection locked="0"/>
    </xf>
    <xf numFmtId="177" fontId="16" fillId="0" borderId="1" xfId="0" applyNumberFormat="1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center" vertical="center" shrinkToFit="1"/>
      <protection locked="0"/>
    </xf>
    <xf numFmtId="26" fontId="29" fillId="0" borderId="1" xfId="0" applyNumberFormat="1" applyFont="1" applyBorder="1" applyAlignment="1" applyProtection="1">
      <alignment horizontal="center" vertical="center" wrapText="1"/>
      <protection locked="0"/>
    </xf>
    <xf numFmtId="26" fontId="29" fillId="0" borderId="0" xfId="0" applyNumberFormat="1" applyFont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 shrinkToFi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227965</xdr:colOff>
      <xdr:row>0</xdr:row>
      <xdr:rowOff>0</xdr:rowOff>
    </xdr:from>
    <xdr:to>
      <xdr:col>0</xdr:col>
      <xdr:colOff>781050</xdr:colOff>
      <xdr:row>0</xdr:row>
      <xdr:rowOff>866140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965" y="0"/>
          <a:ext cx="553085" cy="866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304165</xdr:colOff>
      <xdr:row>0</xdr:row>
      <xdr:rowOff>27940</xdr:rowOff>
    </xdr:from>
    <xdr:to>
      <xdr:col>12</xdr:col>
      <xdr:colOff>123825</xdr:colOff>
      <xdr:row>0</xdr:row>
      <xdr:rowOff>695325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85090" y="27940"/>
          <a:ext cx="683260" cy="667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9"/>
  <sheetViews>
    <sheetView showZeros="0" tabSelected="1" topLeftCell="A8" workbookViewId="0">
      <selection activeCell="K20" sqref="K20"/>
    </sheetView>
  </sheetViews>
  <sheetFormatPr defaultColWidth="9" defaultRowHeight="15"/>
  <cols>
    <col min="1" max="1" width="7.83333333333333" style="64" customWidth="1"/>
    <col min="2" max="3" width="15.5" style="64" customWidth="1"/>
    <col min="4" max="4" width="23.25" style="64" customWidth="1"/>
    <col min="5" max="5" width="7.08333333333333" style="64" customWidth="1"/>
    <col min="6" max="6" width="14.8333333333333" style="64" customWidth="1"/>
    <col min="7" max="7" width="12.8333333333333" style="65" customWidth="1"/>
    <col min="8" max="8" width="14.5833333333333" style="65" customWidth="1"/>
    <col min="9" max="9" width="19.0833333333333" style="66" customWidth="1"/>
    <col min="10" max="16384" width="9" style="64"/>
  </cols>
  <sheetData>
    <row r="1" ht="23.15" customHeight="1" spans="1:9">
      <c r="A1" s="67" t="s">
        <v>0</v>
      </c>
      <c r="B1" s="68"/>
      <c r="C1" s="68"/>
      <c r="D1" s="68"/>
      <c r="E1" s="68"/>
      <c r="F1" s="68"/>
      <c r="G1" s="68"/>
      <c r="H1" s="68"/>
      <c r="I1" s="68"/>
    </row>
    <row r="2" ht="21" customHeight="1" spans="1:9">
      <c r="A2" s="69" t="s">
        <v>1</v>
      </c>
      <c r="B2" s="69"/>
      <c r="C2" s="69"/>
      <c r="D2" s="69"/>
      <c r="E2" s="69"/>
      <c r="F2" s="69"/>
      <c r="G2" s="69"/>
      <c r="H2" s="69"/>
      <c r="I2" s="69"/>
    </row>
    <row r="3" ht="26.15" customHeight="1" spans="1:9">
      <c r="A3" s="70" t="s">
        <v>2</v>
      </c>
      <c r="B3" s="70"/>
      <c r="C3" s="70"/>
      <c r="D3" s="70"/>
      <c r="E3" s="70"/>
      <c r="F3" s="70"/>
      <c r="G3" s="70"/>
      <c r="H3" s="70"/>
      <c r="I3" s="70"/>
    </row>
    <row r="4" s="57" customFormat="1" ht="21" customHeight="1" spans="1:9">
      <c r="A4" s="71" t="s">
        <v>3</v>
      </c>
      <c r="B4" s="71"/>
      <c r="C4" s="71"/>
      <c r="D4" s="71"/>
      <c r="E4" s="71"/>
      <c r="F4" s="71"/>
      <c r="G4" s="71"/>
      <c r="H4" s="71"/>
      <c r="I4" s="71"/>
    </row>
    <row r="5" s="58" customFormat="1" ht="21" customHeight="1" spans="1:9">
      <c r="A5" s="72" t="s">
        <v>4</v>
      </c>
      <c r="B5" s="73"/>
      <c r="C5" s="73"/>
      <c r="D5" s="74"/>
      <c r="E5" s="75"/>
      <c r="F5" s="76" t="s">
        <v>5</v>
      </c>
      <c r="G5" s="77" t="s">
        <v>6</v>
      </c>
      <c r="H5" s="77"/>
      <c r="I5" s="78"/>
    </row>
    <row r="6" s="59" customFormat="1" ht="17.25" customHeight="1" spans="1:9">
      <c r="A6" s="79" t="s">
        <v>7</v>
      </c>
      <c r="B6" s="75"/>
      <c r="C6" s="75"/>
      <c r="D6" s="80"/>
      <c r="E6" s="75"/>
      <c r="F6" s="81" t="s">
        <v>8</v>
      </c>
      <c r="G6" s="82">
        <v>46167</v>
      </c>
      <c r="H6" s="82"/>
      <c r="I6" s="83"/>
    </row>
    <row r="7" s="59" customFormat="1" ht="17.25" customHeight="1" spans="1:9">
      <c r="A7" s="79"/>
      <c r="B7" s="75"/>
      <c r="C7" s="75"/>
      <c r="D7" s="80"/>
      <c r="E7" s="75"/>
      <c r="F7" s="81" t="s">
        <v>9</v>
      </c>
      <c r="G7" s="84" t="s">
        <v>10</v>
      </c>
      <c r="H7" s="84"/>
      <c r="I7" s="83"/>
    </row>
    <row r="8" s="59" customFormat="1" ht="17.25" customHeight="1" spans="1:9">
      <c r="A8" s="79"/>
      <c r="B8" s="75"/>
      <c r="C8" s="75"/>
      <c r="D8" s="80"/>
      <c r="E8" s="75"/>
      <c r="F8" s="81" t="s">
        <v>11</v>
      </c>
      <c r="G8" s="85"/>
      <c r="H8" s="85"/>
      <c r="I8" s="83"/>
    </row>
    <row r="9" s="59" customFormat="1" ht="17.25" customHeight="1" spans="1:9">
      <c r="A9" s="79"/>
      <c r="B9" s="75"/>
      <c r="C9" s="75"/>
      <c r="D9" s="80"/>
      <c r="E9" s="75"/>
      <c r="F9" s="86" t="s">
        <v>12</v>
      </c>
      <c r="G9" s="82" t="s">
        <v>13</v>
      </c>
      <c r="H9" s="82"/>
      <c r="I9" s="83"/>
    </row>
    <row r="10" s="59" customFormat="1" ht="17.25" customHeight="1" spans="1:9">
      <c r="A10" s="79"/>
      <c r="B10" s="75"/>
      <c r="C10" s="75"/>
      <c r="D10" s="80"/>
      <c r="E10" s="75"/>
      <c r="F10" s="86" t="s">
        <v>14</v>
      </c>
      <c r="G10" s="82" t="s">
        <v>15</v>
      </c>
      <c r="H10" s="87"/>
      <c r="I10" s="83"/>
    </row>
    <row r="11" s="59" customFormat="1" ht="17.25" customHeight="1" spans="1:9">
      <c r="A11" s="88"/>
      <c r="B11" s="89"/>
      <c r="C11" s="89"/>
      <c r="D11" s="90"/>
      <c r="E11" s="75"/>
      <c r="F11" s="81" t="s">
        <v>16</v>
      </c>
      <c r="G11" s="91" t="e">
        <f>#REF!</f>
        <v>#REF!</v>
      </c>
      <c r="H11" s="91"/>
      <c r="I11" s="83"/>
    </row>
    <row r="12" s="59" customFormat="1" ht="20.25" customHeight="1" spans="1:9">
      <c r="A12" s="72" t="s">
        <v>17</v>
      </c>
      <c r="B12" s="73"/>
      <c r="C12" s="73"/>
      <c r="D12" s="74"/>
      <c r="E12" s="75"/>
      <c r="F12" s="81" t="s">
        <v>18</v>
      </c>
      <c r="G12" s="75" t="s">
        <v>19</v>
      </c>
      <c r="H12" s="75"/>
      <c r="I12" s="80"/>
    </row>
    <row r="13" s="59" customFormat="1" ht="15.75" customHeight="1" spans="1:9">
      <c r="A13" s="79" t="s">
        <v>20</v>
      </c>
      <c r="B13" s="75"/>
      <c r="C13" s="75"/>
      <c r="D13" s="80"/>
      <c r="E13" s="75"/>
      <c r="F13" s="92"/>
      <c r="G13" s="75"/>
      <c r="H13" s="75"/>
      <c r="I13" s="80"/>
    </row>
    <row r="14" s="59" customFormat="1" ht="27" customHeight="1" spans="1:9">
      <c r="A14" s="88"/>
      <c r="B14" s="89"/>
      <c r="C14" s="89"/>
      <c r="D14" s="90"/>
      <c r="E14" s="75"/>
      <c r="F14" s="93"/>
      <c r="G14" s="89" t="s">
        <v>10</v>
      </c>
      <c r="H14" s="89"/>
      <c r="I14" s="90"/>
    </row>
    <row r="15" s="60" customFormat="1" ht="25" customHeight="1" spans="1:9">
      <c r="A15" s="94" t="s">
        <v>21</v>
      </c>
      <c r="B15" s="94" t="s">
        <v>22</v>
      </c>
      <c r="C15" s="94" t="s">
        <v>23</v>
      </c>
      <c r="D15" s="94" t="s">
        <v>24</v>
      </c>
      <c r="E15" s="94" t="s">
        <v>25</v>
      </c>
      <c r="F15" s="94" t="s">
        <v>26</v>
      </c>
      <c r="G15" s="95" t="s">
        <v>27</v>
      </c>
      <c r="H15" s="95" t="s">
        <v>16</v>
      </c>
      <c r="I15" s="95" t="s">
        <v>28</v>
      </c>
    </row>
    <row r="16" s="60" customFormat="1" ht="25" customHeight="1" spans="1:9">
      <c r="A16" s="96"/>
      <c r="B16" s="94"/>
      <c r="C16" s="94"/>
      <c r="D16" s="94"/>
      <c r="E16" s="96"/>
      <c r="F16" s="94"/>
      <c r="G16" s="97"/>
      <c r="H16" s="95"/>
      <c r="I16" s="97"/>
    </row>
    <row r="17" s="61" customFormat="1" ht="34" customHeight="1" spans="1:9">
      <c r="A17" s="98"/>
      <c r="B17" s="99" t="s">
        <v>29</v>
      </c>
      <c r="C17" s="99"/>
      <c r="D17" s="99"/>
      <c r="E17" s="98"/>
      <c r="F17" s="99"/>
      <c r="G17" s="100"/>
      <c r="H17" s="99"/>
      <c r="I17" s="98"/>
    </row>
    <row r="18" s="61" customFormat="1" ht="34" customHeight="1" spans="1:9">
      <c r="A18" s="98"/>
      <c r="B18" s="101" t="s">
        <v>30</v>
      </c>
      <c r="C18" s="101"/>
      <c r="D18" s="101"/>
      <c r="E18" s="98"/>
      <c r="F18" s="102"/>
      <c r="G18" s="103"/>
      <c r="H18" s="102" t="s">
        <v>17</v>
      </c>
      <c r="I18" s="98"/>
    </row>
    <row r="19" s="61" customFormat="1" ht="34" customHeight="1" spans="1:9">
      <c r="A19" s="98"/>
      <c r="B19" s="104"/>
      <c r="C19" s="104"/>
      <c r="D19" s="104"/>
      <c r="E19" s="104"/>
      <c r="F19" s="104"/>
      <c r="G19" s="105"/>
      <c r="H19" s="106"/>
      <c r="I19" s="106"/>
    </row>
    <row r="20" s="61" customFormat="1" ht="34" customHeight="1" spans="1:9">
      <c r="A20" s="107"/>
      <c r="B20" s="108" t="s">
        <v>31</v>
      </c>
      <c r="C20" s="108"/>
      <c r="D20" s="108"/>
      <c r="E20" s="108"/>
      <c r="F20" s="109"/>
      <c r="G20" s="107"/>
      <c r="H20" s="110" t="s">
        <v>32</v>
      </c>
      <c r="I20" s="110"/>
    </row>
    <row r="21" s="61" customFormat="1" ht="34" customHeight="1" spans="1:9">
      <c r="A21" s="111"/>
      <c r="B21" s="112"/>
      <c r="C21" s="112"/>
      <c r="D21" s="112"/>
      <c r="E21" s="113"/>
      <c r="F21" s="114"/>
      <c r="G21" s="114"/>
      <c r="H21" s="115"/>
      <c r="I21" s="114"/>
    </row>
    <row r="22" s="61" customFormat="1" ht="34" customHeight="1" spans="1:9">
      <c r="A22" s="64"/>
      <c r="B22" s="65"/>
      <c r="C22" s="65"/>
      <c r="D22" s="65"/>
      <c r="E22" s="66"/>
      <c r="H22" s="116"/>
    </row>
    <row r="23" s="61" customFormat="1" ht="34" customHeight="1" spans="1:9">
      <c r="A23" s="64"/>
      <c r="B23" s="65"/>
      <c r="C23" s="65"/>
      <c r="D23" s="65"/>
      <c r="E23" s="66"/>
      <c r="F23" s="117"/>
      <c r="H23" s="116"/>
    </row>
    <row r="24" s="61" customFormat="1" ht="34" customHeight="1" spans="1:9">
      <c r="A24" s="64"/>
      <c r="B24" s="65"/>
      <c r="C24" s="65"/>
      <c r="D24" s="65"/>
      <c r="E24" s="66"/>
      <c r="F24" s="117"/>
      <c r="H24" s="116"/>
    </row>
    <row r="25" s="61" customFormat="1" ht="34" customHeight="1" spans="1:9">
      <c r="A25" s="64"/>
      <c r="B25" s="65"/>
      <c r="C25" s="65"/>
      <c r="D25" s="65"/>
      <c r="E25" s="66"/>
      <c r="H25" s="116"/>
    </row>
    <row r="26" s="61" customFormat="1" ht="34" customHeight="1" spans="1:9">
      <c r="A26" s="64"/>
      <c r="B26" s="65"/>
      <c r="C26" s="65"/>
      <c r="D26" s="65"/>
      <c r="E26" s="66"/>
      <c r="H26" s="116"/>
    </row>
    <row r="27" s="61" customFormat="1" ht="34" customHeight="1" spans="1:9">
      <c r="A27" s="64"/>
      <c r="B27" s="65"/>
      <c r="C27" s="65"/>
      <c r="D27" s="65"/>
      <c r="E27" s="66"/>
      <c r="F27" s="117"/>
      <c r="H27" s="116"/>
    </row>
    <row r="28" s="62" customFormat="1" ht="24.75" customHeight="1" spans="1:9">
      <c r="A28" s="64"/>
      <c r="B28" s="65"/>
      <c r="C28" s="65"/>
      <c r="D28" s="65"/>
      <c r="E28" s="66"/>
    </row>
    <row r="29" ht="30.4" customHeight="1" spans="1:9">
      <c r="B29" s="65"/>
      <c r="C29" s="65"/>
      <c r="D29" s="65"/>
      <c r="E29" s="66"/>
      <c r="G29" s="64"/>
      <c r="H29" s="64"/>
      <c r="I29" s="64"/>
    </row>
    <row r="30" s="63" customFormat="1" ht="18" customHeight="1" spans="1:9">
      <c r="A30" s="64"/>
      <c r="B30" s="65"/>
      <c r="C30" s="65"/>
      <c r="D30" s="65"/>
      <c r="E30" s="66"/>
    </row>
    <row r="31" spans="1:9">
      <c r="B31" s="65"/>
      <c r="C31" s="65"/>
      <c r="D31" s="65"/>
      <c r="E31" s="66"/>
      <c r="G31" s="64"/>
      <c r="H31" s="64"/>
      <c r="I31" s="64"/>
    </row>
    <row r="32" spans="1:9">
      <c r="B32" s="65"/>
      <c r="C32" s="65"/>
      <c r="D32" s="65"/>
      <c r="E32" s="66"/>
      <c r="G32" s="64"/>
      <c r="H32" s="64"/>
      <c r="I32" s="64"/>
    </row>
    <row r="33" spans="2:9">
      <c r="B33" s="65"/>
      <c r="C33" s="65"/>
      <c r="D33" s="65"/>
      <c r="E33" s="66"/>
      <c r="G33" s="64"/>
      <c r="H33" s="64"/>
      <c r="I33" s="64"/>
    </row>
    <row r="34" spans="2:9">
      <c r="B34" s="65"/>
      <c r="C34" s="65"/>
      <c r="D34" s="65"/>
      <c r="E34" s="66"/>
      <c r="G34" s="64"/>
      <c r="H34" s="64"/>
      <c r="I34" s="64"/>
    </row>
    <row r="35" spans="2:9">
      <c r="B35" s="65"/>
      <c r="C35" s="65"/>
      <c r="D35" s="65"/>
      <c r="E35" s="66"/>
      <c r="G35" s="64"/>
      <c r="H35" s="64"/>
      <c r="I35" s="64"/>
    </row>
    <row r="36" spans="2:9">
      <c r="B36" s="65"/>
      <c r="C36" s="65"/>
      <c r="D36" s="65"/>
      <c r="E36" s="66"/>
      <c r="G36" s="64"/>
      <c r="H36" s="64"/>
      <c r="I36" s="64"/>
    </row>
    <row r="37" spans="2:9">
      <c r="B37" s="65"/>
      <c r="C37" s="65"/>
      <c r="D37" s="65"/>
      <c r="E37" s="66"/>
      <c r="G37" s="64"/>
      <c r="H37" s="64"/>
      <c r="I37" s="64"/>
    </row>
    <row r="38" spans="2:9">
      <c r="B38" s="65"/>
      <c r="C38" s="65"/>
      <c r="D38" s="65"/>
      <c r="E38" s="66"/>
      <c r="G38" s="64"/>
      <c r="H38" s="64"/>
      <c r="I38" s="64"/>
    </row>
    <row r="39" spans="2:9">
      <c r="B39" s="65"/>
      <c r="C39" s="65"/>
      <c r="D39" s="65"/>
      <c r="E39" s="66"/>
      <c r="G39" s="64"/>
      <c r="H39" s="64"/>
      <c r="I39" s="64"/>
    </row>
    <row r="40" spans="2:9">
      <c r="B40" s="65"/>
      <c r="C40" s="65"/>
      <c r="D40" s="65"/>
      <c r="E40" s="66"/>
      <c r="G40" s="64"/>
      <c r="H40" s="64"/>
      <c r="I40" s="64"/>
    </row>
    <row r="41" spans="2:9">
      <c r="B41" s="65"/>
      <c r="C41" s="65"/>
      <c r="D41" s="65"/>
      <c r="E41" s="66"/>
      <c r="G41" s="64"/>
      <c r="H41" s="64"/>
      <c r="I41" s="64"/>
    </row>
    <row r="42" spans="2:9">
      <c r="B42" s="65"/>
      <c r="C42" s="65"/>
      <c r="D42" s="65"/>
      <c r="E42" s="66"/>
      <c r="G42" s="64"/>
      <c r="H42" s="64"/>
      <c r="I42" s="64"/>
    </row>
    <row r="43" spans="2:9">
      <c r="B43" s="65"/>
      <c r="C43" s="65"/>
      <c r="D43" s="65"/>
      <c r="E43" s="66"/>
      <c r="G43" s="64"/>
      <c r="H43" s="64"/>
      <c r="I43" s="64"/>
    </row>
    <row r="44" spans="2:9">
      <c r="B44" s="65"/>
      <c r="C44" s="65"/>
      <c r="D44" s="65"/>
      <c r="E44" s="66"/>
      <c r="G44" s="64"/>
      <c r="H44" s="64"/>
      <c r="I44" s="64"/>
    </row>
    <row r="45" spans="2:9">
      <c r="B45" s="65"/>
      <c r="C45" s="65"/>
      <c r="D45" s="65"/>
      <c r="E45" s="66"/>
      <c r="G45" s="64"/>
      <c r="H45" s="64"/>
      <c r="I45" s="64"/>
    </row>
    <row r="46" spans="2:9">
      <c r="B46" s="65"/>
      <c r="C46" s="65"/>
      <c r="D46" s="65"/>
      <c r="E46" s="66"/>
      <c r="G46" s="64"/>
      <c r="H46" s="64"/>
      <c r="I46" s="64"/>
    </row>
    <row r="47" spans="2:9">
      <c r="B47" s="65"/>
      <c r="C47" s="65"/>
      <c r="D47" s="65"/>
      <c r="E47" s="66"/>
      <c r="G47" s="64"/>
      <c r="H47" s="64"/>
      <c r="I47" s="64"/>
    </row>
    <row r="48" spans="2:9">
      <c r="B48" s="65"/>
      <c r="C48" s="65"/>
      <c r="D48" s="65"/>
      <c r="E48" s="66"/>
      <c r="G48" s="64"/>
      <c r="H48" s="64"/>
      <c r="I48" s="64"/>
    </row>
    <row r="49" spans="2:9">
      <c r="B49" s="65"/>
      <c r="C49" s="65"/>
      <c r="D49" s="65"/>
      <c r="E49" s="66"/>
      <c r="G49" s="64"/>
      <c r="H49" s="64"/>
      <c r="I49" s="64"/>
    </row>
  </sheetData>
  <sheetProtection selectLockedCells="1" formatCells="0"/>
  <mergeCells count="13">
    <mergeCell ref="A1:I1"/>
    <mergeCell ref="A2:I2"/>
    <mergeCell ref="A3:I3"/>
    <mergeCell ref="A4:I4"/>
    <mergeCell ref="G5:H5"/>
    <mergeCell ref="G6:H6"/>
    <mergeCell ref="G9:H9"/>
    <mergeCell ref="G11:H11"/>
    <mergeCell ref="G14:I14"/>
    <mergeCell ref="B20:E20"/>
    <mergeCell ref="A6:D11"/>
    <mergeCell ref="A13:D14"/>
    <mergeCell ref="G12:I13"/>
  </mergeCells>
  <printOptions horizontalCentered="1"/>
  <pageMargins left="0.0784722222222222" right="0.0784722222222222" top="1.10208333333333" bottom="1.25972222222222" header="0.472222222222222" footer="0.550694444444444"/>
  <pageSetup paperSize="9" scale="77" orientation="portrait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10"/>
  <sheetViews>
    <sheetView topLeftCell="A7" workbookViewId="0">
      <selection activeCell="C13" sqref="C13"/>
    </sheetView>
  </sheetViews>
  <sheetFormatPr defaultColWidth="8" defaultRowHeight="15.6" outlineLevelCol="7"/>
  <cols>
    <col min="1" max="1" width="6.08333333333333" style="33" customWidth="1"/>
    <col min="2" max="3" width="25.3333333333333" style="33" customWidth="1"/>
    <col min="4" max="4" width="11.0833333333333" style="33" customWidth="1"/>
    <col min="5" max="5" width="9.08333333333333" style="33" customWidth="1"/>
    <col min="6" max="6" width="7.25" style="33" customWidth="1"/>
    <col min="7" max="7" width="10.0833333333333" style="33" customWidth="1"/>
    <col min="8" max="8" width="13.25" style="33" customWidth="1"/>
    <col min="9" max="16364" width="8" style="34"/>
  </cols>
  <sheetData>
    <row r="1" ht="35.15" customHeight="1" spans="1:8">
      <c r="A1" s="35" t="str">
        <f>合同!A1</f>
        <v>成都玖马赫供应链管理有限公司</v>
      </c>
      <c r="B1" s="38"/>
      <c r="C1" s="38"/>
      <c r="D1" s="38"/>
      <c r="E1" s="38"/>
      <c r="F1" s="38"/>
      <c r="G1" s="38"/>
      <c r="H1" s="38"/>
    </row>
    <row r="2" ht="26.15" customHeight="1" spans="1:8">
      <c r="A2" s="51" t="str">
        <f>合同!A2</f>
        <v>CHENGDU JUMACH SUPPLY CHAIN MANAGEMENT CO.,LTD</v>
      </c>
      <c r="B2" s="51"/>
      <c r="C2" s="51"/>
      <c r="D2" s="51"/>
      <c r="E2" s="51"/>
      <c r="F2" s="51"/>
      <c r="G2" s="51"/>
      <c r="H2" s="51"/>
    </row>
    <row r="3" ht="34" customHeight="1" spans="1:8">
      <c r="A3" s="52" t="s">
        <v>33</v>
      </c>
      <c r="B3" s="52"/>
      <c r="C3" s="52"/>
      <c r="D3" s="52"/>
      <c r="E3" s="52"/>
      <c r="F3" s="52"/>
      <c r="G3" s="52"/>
      <c r="H3" s="52"/>
    </row>
    <row r="4" ht="20.4" spans="1:8">
      <c r="A4" s="37" t="s">
        <v>34</v>
      </c>
      <c r="B4" s="37"/>
      <c r="C4" s="37"/>
      <c r="D4" s="37"/>
      <c r="E4" s="37"/>
      <c r="F4" s="37"/>
      <c r="G4" s="37"/>
      <c r="H4" s="37"/>
    </row>
    <row r="5" s="32" customFormat="1" ht="21" spans="1:8">
      <c r="A5" s="38" t="s">
        <v>35</v>
      </c>
      <c r="B5" s="38"/>
      <c r="C5" s="38"/>
      <c r="D5" s="38"/>
      <c r="E5" s="38"/>
      <c r="F5" s="38"/>
      <c r="G5" s="38"/>
      <c r="H5" s="38"/>
    </row>
    <row r="6" s="32" customFormat="1" ht="21" spans="1:8">
      <c r="A6" s="53" t="s">
        <v>36</v>
      </c>
      <c r="B6" s="53"/>
      <c r="C6" s="53"/>
      <c r="D6" s="38"/>
      <c r="E6" s="38"/>
      <c r="F6" s="41"/>
      <c r="G6" s="54"/>
      <c r="H6" s="54"/>
    </row>
    <row r="7" s="32" customFormat="1" ht="28" customHeight="1" spans="1:8">
      <c r="A7" s="55" t="s">
        <v>37</v>
      </c>
      <c r="B7" s="55"/>
      <c r="C7" s="55"/>
      <c r="D7" s="38"/>
      <c r="E7" s="38"/>
      <c r="F7" s="43" t="s">
        <v>38</v>
      </c>
      <c r="G7" s="54" t="s">
        <v>39</v>
      </c>
      <c r="H7" s="54"/>
    </row>
    <row r="8" s="32" customFormat="1" ht="24" customHeight="1" spans="1:8">
      <c r="A8" s="55"/>
      <c r="B8" s="55"/>
      <c r="C8" s="55"/>
      <c r="D8" s="38"/>
      <c r="E8" s="38"/>
      <c r="F8" s="41" t="s">
        <v>10</v>
      </c>
      <c r="G8" s="44"/>
    </row>
    <row r="9" s="32" customFormat="1" ht="21" spans="1:8">
      <c r="A9" s="56" t="s">
        <v>10</v>
      </c>
      <c r="B9" s="38"/>
      <c r="C9" s="38"/>
      <c r="D9" s="38"/>
      <c r="E9" s="38"/>
      <c r="F9" s="43" t="s">
        <v>40</v>
      </c>
      <c r="G9" s="45">
        <f>合同!G6</f>
        <v>46167</v>
      </c>
      <c r="H9" s="45"/>
    </row>
    <row r="10" s="33" customFormat="1" ht="34" customHeight="1" spans="1:8">
      <c r="A10" s="46" t="s">
        <v>21</v>
      </c>
      <c r="B10" s="47" t="s">
        <v>41</v>
      </c>
      <c r="C10" s="47" t="s">
        <v>23</v>
      </c>
      <c r="D10" s="47" t="s">
        <v>24</v>
      </c>
      <c r="E10" s="47" t="s">
        <v>25</v>
      </c>
      <c r="F10" s="47" t="s">
        <v>26</v>
      </c>
      <c r="G10" s="47" t="s">
        <v>27</v>
      </c>
      <c r="H10" s="47" t="s">
        <v>16</v>
      </c>
    </row>
  </sheetData>
  <sheetProtection sort="0" autoFilter="0" pivotTables="0"/>
  <mergeCells count="10">
    <mergeCell ref="A1:H1"/>
    <mergeCell ref="A2:H2"/>
    <mergeCell ref="A3:H3"/>
    <mergeCell ref="A4:H4"/>
    <mergeCell ref="A5:H5"/>
    <mergeCell ref="A6:B6"/>
    <mergeCell ref="G6:H6"/>
    <mergeCell ref="G7:H7"/>
    <mergeCell ref="G9:H9"/>
    <mergeCell ref="A7:B8"/>
  </mergeCells>
  <pageMargins left="0.39" right="0.39" top="0.39" bottom="0.39" header="0.39" footer="0.39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21"/>
  <sheetViews>
    <sheetView showWhiteSpace="0" topLeftCell="A2" workbookViewId="0">
      <selection activeCell="C13" sqref="C13"/>
    </sheetView>
  </sheetViews>
  <sheetFormatPr defaultColWidth="8" defaultRowHeight="14.4"/>
  <cols>
    <col min="1" max="1" width="6.33333333333333" style="33" customWidth="1"/>
    <col min="2" max="2" width="25.0833333333333" style="33" customWidth="1"/>
    <col min="3" max="3" width="20.25" style="33" customWidth="1"/>
    <col min="4" max="4" width="10.25" style="33" customWidth="1"/>
    <col min="5" max="5" width="6.08333333333333" style="33" customWidth="1"/>
    <col min="6" max="6" width="6" style="33" customWidth="1"/>
    <col min="7" max="7" width="6.75" style="33" customWidth="1"/>
    <col min="8" max="8" width="7.75" style="33" customWidth="1"/>
    <col min="9" max="9" width="6.08333333333333" style="33" customWidth="1"/>
    <col min="10" max="12" width="3.75" style="33" customWidth="1"/>
    <col min="13" max="13" width="8.33333333333333" style="34"/>
    <col min="14" max="16384" width="8" style="34"/>
  </cols>
  <sheetData>
    <row r="1" ht="25" customHeight="1" spans="1:13">
      <c r="A1" s="35" t="str">
        <f>合同!A1</f>
        <v>成都玖马赫供应链管理有限公司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ht="27" customHeight="1" spans="1:13">
      <c r="A2" s="35" t="str">
        <f>合同!A2</f>
        <v>CHENGDU JUMACH SUPPLY CHAIN MANAGEMENT CO.,LTD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ht="30" customHeight="1" spans="1:13">
      <c r="A3" s="36" t="s">
        <v>33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ht="20.4" spans="1:13">
      <c r="A4" s="37" t="s">
        <v>42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="32" customFormat="1" ht="21" spans="1:13">
      <c r="A5" s="38" t="s">
        <v>43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="32" customFormat="1" ht="21" spans="1:13">
      <c r="A6" s="39" t="str">
        <f>INVOICE!A6</f>
        <v>TO：Hong Kong Cammy Yeson Limited</v>
      </c>
      <c r="B6" s="39"/>
      <c r="C6" s="39"/>
      <c r="D6" s="40"/>
      <c r="E6" s="38"/>
      <c r="F6" s="38"/>
      <c r="G6" s="41"/>
      <c r="H6" s="38"/>
      <c r="I6" s="38"/>
      <c r="J6" s="38"/>
      <c r="K6" s="38"/>
      <c r="L6" s="38"/>
    </row>
    <row r="7" s="32" customFormat="1" ht="30" customHeight="1" spans="1:13">
      <c r="A7" s="42" t="str">
        <f>INVOICE!A7</f>
        <v>C/O 1175 Florence Columbus Road UNITB（A12-A35）Bordentown New Jersey 08505</v>
      </c>
      <c r="B7" s="42"/>
      <c r="C7" s="42"/>
      <c r="D7" s="38"/>
      <c r="E7" s="38"/>
      <c r="F7" s="38"/>
      <c r="G7" s="43" t="s">
        <v>38</v>
      </c>
      <c r="H7" s="44" t="str">
        <f>INVOICE!G7</f>
        <v>INV10645-260529-0004</v>
      </c>
      <c r="I7" s="44"/>
      <c r="J7" s="44"/>
      <c r="K7" s="44"/>
      <c r="L7" s="44"/>
    </row>
    <row r="8" s="32" customFormat="1" ht="30" customHeight="1" spans="1:13">
      <c r="A8" s="42"/>
      <c r="B8" s="42"/>
      <c r="C8" s="42"/>
      <c r="D8" s="38"/>
      <c r="E8" s="38"/>
      <c r="F8" s="38"/>
      <c r="G8" s="43" t="s">
        <v>40</v>
      </c>
      <c r="H8" s="45">
        <f>INVOICE!G9</f>
        <v>46167</v>
      </c>
      <c r="I8" s="45"/>
      <c r="J8" s="45"/>
      <c r="K8" s="45"/>
      <c r="L8" s="45"/>
    </row>
    <row r="9" s="33" customFormat="1" ht="38.15" customHeight="1" spans="1:13">
      <c r="A9" s="46" t="s">
        <v>44</v>
      </c>
      <c r="B9" s="46" t="s">
        <v>45</v>
      </c>
      <c r="C9" s="46" t="s">
        <v>23</v>
      </c>
      <c r="D9" s="46" t="s">
        <v>46</v>
      </c>
      <c r="E9" s="47" t="s">
        <v>25</v>
      </c>
      <c r="F9" s="48" t="s">
        <v>26</v>
      </c>
      <c r="G9" s="46" t="s">
        <v>47</v>
      </c>
      <c r="H9" s="46" t="s">
        <v>48</v>
      </c>
      <c r="I9" s="49" t="s">
        <v>49</v>
      </c>
      <c r="J9" s="49"/>
      <c r="K9" s="49"/>
      <c r="L9" s="49"/>
    </row>
    <row r="10" s="33" customFormat="1" ht="35.25" customHeight="1" spans="1:13">
      <c r="M10" s="50"/>
    </row>
    <row r="11" s="33" customFormat="1" ht="35.25" customHeight="1"/>
    <row r="12" s="33" customFormat="1" ht="35.25" customHeight="1"/>
    <row r="13" s="33" customFormat="1" ht="35.25" customHeight="1"/>
    <row r="14" s="33" customFormat="1" ht="35.25" customHeight="1"/>
    <row r="15" s="33" customFormat="1" ht="35.25" customHeight="1"/>
    <row r="16" s="33" customFormat="1" ht="35.25" customHeight="1"/>
    <row r="17" s="33" customFormat="1" ht="35.25" customHeight="1"/>
    <row r="18" s="33" customFormat="1" ht="25" customHeight="1"/>
    <row r="19" s="33" customFormat="1" ht="27" customHeight="1"/>
    <row r="20" s="33" customFormat="1" ht="34.5" customHeight="1"/>
    <row r="21" s="33" customFormat="1" ht="27" customHeight="1"/>
  </sheetData>
  <sheetProtection sort="0" autoFilter="0" pivotTables="0"/>
  <mergeCells count="9">
    <mergeCell ref="A1:L1"/>
    <mergeCell ref="A2:L2"/>
    <mergeCell ref="A3:L3"/>
    <mergeCell ref="A4:L4"/>
    <mergeCell ref="A5:L5"/>
    <mergeCell ref="H7:L7"/>
    <mergeCell ref="H8:L8"/>
    <mergeCell ref="I9:L9"/>
    <mergeCell ref="A7:B8"/>
  </mergeCells>
  <pageMargins left="0.550694444444444" right="0.393055555555556" top="0.236111111111111" bottom="0" header="0" footer="0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M15"/>
  <sheetViews>
    <sheetView topLeftCell="B1" workbookViewId="0">
      <selection activeCell="I18" sqref="I18:I19"/>
    </sheetView>
  </sheetViews>
  <sheetFormatPr defaultColWidth="9" defaultRowHeight="14.4"/>
  <cols>
    <col min="1" max="1" width="14.0833333333333" style="3" customWidth="1"/>
    <col min="2" max="2" width="26.25" style="3" customWidth="1"/>
    <col min="3" max="3" width="13.5833333333333" style="3" customWidth="1"/>
    <col min="4" max="4" width="25.625" style="3" customWidth="1"/>
    <col min="5" max="5" width="20.25" style="3" customWidth="1"/>
    <col min="6" max="6" width="16" style="3" customWidth="1"/>
    <col min="7" max="7" width="18.5" style="3" customWidth="1"/>
    <col min="8" max="8" width="8.58333333333333" style="3" customWidth="1"/>
    <col min="9" max="9" width="7" style="3" customWidth="1"/>
    <col min="10" max="10" width="7.08333333333333" style="3" customWidth="1"/>
    <col min="11" max="11" width="6.83333333333333" style="3" customWidth="1"/>
    <col min="12" max="12" width="11.3333333333333" style="3" customWidth="1"/>
    <col min="13" max="13" width="9.83333333333333" style="3" customWidth="1"/>
    <col min="14" max="16384" width="9" style="3"/>
  </cols>
  <sheetData>
    <row r="1" ht="80.15" customHeight="1" spans="1:13">
      <c r="B1" s="4" t="s">
        <v>50</v>
      </c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="1" customFormat="1" ht="24.75" customHeight="1" spans="1:13">
      <c r="A2" s="6" t="s">
        <v>51</v>
      </c>
      <c r="B2" s="6"/>
      <c r="C2" s="6" t="s">
        <v>52</v>
      </c>
      <c r="D2" s="7"/>
      <c r="E2" s="8"/>
      <c r="F2" s="9"/>
      <c r="G2" s="6"/>
      <c r="H2" s="6"/>
      <c r="I2" s="6"/>
      <c r="J2" s="6"/>
      <c r="K2" s="6"/>
      <c r="L2" s="6"/>
      <c r="M2" s="6" t="s">
        <v>53</v>
      </c>
    </row>
    <row r="3" s="1" customFormat="1" ht="24.75" customHeight="1" spans="1:13">
      <c r="A3" s="10" t="s">
        <v>54</v>
      </c>
      <c r="B3" s="11" t="s">
        <v>55</v>
      </c>
      <c r="C3" s="10" t="s">
        <v>56</v>
      </c>
      <c r="D3" s="7"/>
      <c r="E3" s="8"/>
      <c r="F3" s="10" t="s">
        <v>57</v>
      </c>
      <c r="G3" s="12"/>
      <c r="H3" s="10" t="s">
        <v>58</v>
      </c>
      <c r="I3" s="12" t="s">
        <v>10</v>
      </c>
      <c r="J3" s="13"/>
      <c r="K3" s="10" t="s">
        <v>59</v>
      </c>
      <c r="L3" s="10"/>
      <c r="M3" s="10"/>
    </row>
    <row r="4" s="1" customFormat="1" ht="18" customHeight="1" spans="1:13">
      <c r="A4" s="14" t="s">
        <v>60</v>
      </c>
      <c r="B4" s="15" t="s">
        <v>61</v>
      </c>
      <c r="C4" s="10" t="s">
        <v>62</v>
      </c>
      <c r="D4" s="7"/>
      <c r="E4" s="8"/>
      <c r="F4" s="10" t="s">
        <v>63</v>
      </c>
      <c r="G4" s="13"/>
      <c r="H4" s="10" t="s">
        <v>64</v>
      </c>
      <c r="I4" s="10"/>
      <c r="J4" s="10"/>
      <c r="K4" s="10"/>
      <c r="L4" s="10"/>
      <c r="M4" s="10"/>
    </row>
    <row r="5" s="1" customFormat="1" ht="24.75" customHeight="1" spans="1:13">
      <c r="A5" s="10" t="s">
        <v>65</v>
      </c>
      <c r="B5" s="11" t="s">
        <v>55</v>
      </c>
      <c r="C5" s="10" t="s">
        <v>66</v>
      </c>
      <c r="D5" s="7" t="s">
        <v>67</v>
      </c>
      <c r="E5" s="8" t="s">
        <v>67</v>
      </c>
      <c r="F5" s="10" t="s">
        <v>68</v>
      </c>
      <c r="G5" s="11" t="s">
        <v>69</v>
      </c>
      <c r="H5" s="10" t="s">
        <v>70</v>
      </c>
      <c r="I5" s="10"/>
      <c r="J5" s="10"/>
      <c r="K5" s="10"/>
      <c r="L5" s="10"/>
      <c r="M5" s="10"/>
    </row>
    <row r="6" s="1" customFormat="1" ht="24.75" customHeight="1" spans="1:13">
      <c r="A6" s="10" t="s">
        <v>71</v>
      </c>
      <c r="B6" s="11" t="str">
        <f>合同!G5</f>
        <v>RVG10645-260529-0004</v>
      </c>
      <c r="C6" s="10" t="s">
        <v>72</v>
      </c>
      <c r="D6" s="7" t="s">
        <v>73</v>
      </c>
      <c r="E6" s="8"/>
      <c r="F6" s="10" t="s">
        <v>74</v>
      </c>
      <c r="G6" s="13" t="s">
        <v>73</v>
      </c>
      <c r="H6" s="10" t="s">
        <v>75</v>
      </c>
      <c r="I6" s="13" t="s">
        <v>10</v>
      </c>
      <c r="J6" s="13"/>
      <c r="K6" s="10" t="s">
        <v>76</v>
      </c>
      <c r="L6" s="13" t="s">
        <v>10</v>
      </c>
      <c r="M6" s="13"/>
    </row>
    <row r="7" s="1" customFormat="1" ht="24.75" customHeight="1" spans="1:13">
      <c r="A7" s="10" t="s">
        <v>77</v>
      </c>
      <c r="B7" s="11" t="s">
        <v>78</v>
      </c>
      <c r="C7" s="16" t="s">
        <v>79</v>
      </c>
      <c r="D7" s="7" t="s">
        <v>80</v>
      </c>
      <c r="E7" s="8"/>
      <c r="F7" s="16" t="s">
        <v>81</v>
      </c>
      <c r="G7" s="17" t="s">
        <v>82</v>
      </c>
      <c r="H7" s="10" t="s">
        <v>83</v>
      </c>
      <c r="I7" s="10"/>
      <c r="J7" s="10" t="s">
        <v>84</v>
      </c>
      <c r="K7" s="10"/>
      <c r="L7" s="10" t="s">
        <v>85</v>
      </c>
      <c r="M7" s="10"/>
    </row>
    <row r="8" s="1" customFormat="1" ht="24.75" customHeight="1" spans="1:13">
      <c r="A8" s="18" t="s">
        <v>86</v>
      </c>
      <c r="B8" s="19" t="s">
        <v>87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20"/>
    </row>
    <row r="9" s="1" customFormat="1" ht="30" customHeight="1" spans="1:13">
      <c r="A9" s="21" t="s">
        <v>88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3"/>
    </row>
    <row r="10" s="2" customFormat="1" ht="21.6" spans="1:13">
      <c r="A10" s="24" t="s">
        <v>89</v>
      </c>
      <c r="B10" s="24" t="s">
        <v>90</v>
      </c>
      <c r="C10" s="24" t="s">
        <v>91</v>
      </c>
      <c r="D10" s="25" t="s">
        <v>92</v>
      </c>
      <c r="E10" s="24" t="s">
        <v>93</v>
      </c>
      <c r="F10" s="24" t="s">
        <v>94</v>
      </c>
      <c r="G10" s="10" t="s">
        <v>95</v>
      </c>
      <c r="H10" s="26" t="s">
        <v>96</v>
      </c>
      <c r="I10" s="24" t="s">
        <v>97</v>
      </c>
      <c r="J10" s="24"/>
      <c r="K10" s="24" t="s">
        <v>98</v>
      </c>
      <c r="L10" s="24"/>
      <c r="M10" s="24" t="s">
        <v>99</v>
      </c>
    </row>
    <row r="11" s="2" customFormat="1" ht="15.6" spans="1:13">
      <c r="A11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4"/>
    </row>
    <row r="12" s="1" customFormat="1" ht="11.4" spans="1:13">
      <c r="A12" s="28" t="s">
        <v>100</v>
      </c>
      <c r="B12" s="10" t="s">
        <v>101</v>
      </c>
      <c r="C12" s="29" t="s">
        <v>102</v>
      </c>
      <c r="D12" s="29"/>
      <c r="E12" s="24" t="s">
        <v>103</v>
      </c>
      <c r="F12" s="24"/>
      <c r="G12" s="24"/>
      <c r="H12" s="30" t="s">
        <v>104</v>
      </c>
      <c r="I12" s="31"/>
      <c r="J12" s="31"/>
      <c r="K12" s="31"/>
      <c r="L12" s="31"/>
      <c r="M12" s="30"/>
    </row>
    <row r="13" s="1" customFormat="1" ht="10.8" spans="1:13">
      <c r="A13" s="6"/>
      <c r="B13" s="29"/>
      <c r="C13" s="29"/>
      <c r="D13" s="29"/>
      <c r="E13" s="29"/>
      <c r="F13" s="29"/>
      <c r="G13" s="6"/>
      <c r="H13" s="30"/>
      <c r="I13" s="31"/>
      <c r="J13" s="31"/>
      <c r="K13" s="31"/>
      <c r="L13" s="31"/>
      <c r="M13" s="30"/>
    </row>
    <row r="14" s="1" customFormat="1" ht="11.4" spans="1:13">
      <c r="A14" s="6" t="s">
        <v>105</v>
      </c>
      <c r="B14" s="11" t="s">
        <v>106</v>
      </c>
      <c r="C14" s="6"/>
      <c r="D14" s="6"/>
      <c r="E14" s="6"/>
      <c r="F14" s="24" t="s">
        <v>107</v>
      </c>
      <c r="G14" s="24"/>
      <c r="H14" s="30"/>
      <c r="I14" s="30"/>
      <c r="J14" s="30"/>
      <c r="K14" s="30"/>
      <c r="L14" s="30"/>
      <c r="M14" s="30"/>
    </row>
    <row r="15" s="1" customFormat="1" ht="10.8"/>
  </sheetData>
  <mergeCells count="20">
    <mergeCell ref="B1:L1"/>
    <mergeCell ref="D2:E2"/>
    <mergeCell ref="D3:E3"/>
    <mergeCell ref="I3:J3"/>
    <mergeCell ref="L3:M3"/>
    <mergeCell ref="D4:E4"/>
    <mergeCell ref="I4:M4"/>
    <mergeCell ref="D5:E5"/>
    <mergeCell ref="I5:M5"/>
    <mergeCell ref="D6:E6"/>
    <mergeCell ref="I6:J6"/>
    <mergeCell ref="L6:M6"/>
    <mergeCell ref="D7:E7"/>
    <mergeCell ref="B8:M8"/>
    <mergeCell ref="B9:M9"/>
    <mergeCell ref="I10:J10"/>
    <mergeCell ref="K10:L10"/>
    <mergeCell ref="E12:G12"/>
    <mergeCell ref="F14:G14"/>
    <mergeCell ref="H12:M14"/>
  </mergeCells>
  <pageMargins left="0.156944444444444" right="0.156944444444444" top="0.236111111111111" bottom="0.156944444444444" header="0.310416666666667" footer="0.310416666666667"/>
  <pageSetup paperSize="9" scale="2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VIRLINK INDUSTRIES LIMITED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合同</vt:lpstr>
      <vt:lpstr>INVOICE</vt:lpstr>
      <vt:lpstr>Packing List </vt:lpstr>
      <vt:lpstr>报关单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王钰涵</cp:lastModifiedBy>
  <dcterms:created xsi:type="dcterms:W3CDTF">2003-06-16T01:31:00Z</dcterms:created>
  <cp:lastPrinted>2023-09-23T03:53:00Z</cp:lastPrinted>
  <dcterms:modified xsi:type="dcterms:W3CDTF">2026-07-02T05:49:14Z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023964BB17764AB8B7EF09EAEF222EB5_13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